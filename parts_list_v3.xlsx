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필수 부품" sheetId="1" state="visible" r:id="rId3"/>
    <sheet name="추가·선택 부품" sheetId="2" state="visible" r:id="rId4"/>
    <sheet name="이미 보유" sheetId="3" state="visible" r:id="rId5"/>
    <sheet name="기판 부품 배치" sheetId="4" state="visible" r:id="rId6"/>
    <sheet name="기판 배선표" sheetId="5" state="visible" r:id="rId7"/>
    <sheet name="외부 연결표" sheetId="6" state="visible" r:id="rId8"/>
    <sheet name="기준값·ADC 코드" sheetId="7" state="visible" r:id="rId9"/>
  </sheets>
  <definedNames>
    <definedName function="false" hidden="true" localSheetId="4" name="_xlnm._FilterDatabase" vbProcedure="false">'기판 배선표'!$A$4:$G$59</definedName>
    <definedName function="false" hidden="true" localSheetId="3" name="_xlnm._FilterDatabase" vbProcedure="false">'기판 부품 배치'!$A$4:$H$39</definedName>
    <definedName function="false" hidden="true" localSheetId="2" name="_xlnm._FilterDatabase" vbProcedure="false">'이미 보유'!$A$4:$E$10</definedName>
    <definedName function="false" hidden="true" localSheetId="1" name="_xlnm._FilterDatabase" vbProcedure="false">'추가·선택 부품'!$A$4:$H$21</definedName>
    <definedName function="false" hidden="true" localSheetId="0" name="_xlnm._FilterDatabase" vbProcedure="false">'필수 부품'!$A$4:$H$38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<sst xmlns="http://schemas.openxmlformats.org/spreadsheetml/2006/main" count="1149" uniqueCount="774">
  <si>
    <r>
      <rPr>
        <b val="true"/>
        <sz val="14"/>
        <rFont val="Noto Sans CJK SC"/>
        <family val="2"/>
      </rPr>
      <t xml:space="preserve">필수 부품 </t>
    </r>
    <r>
      <rPr>
        <b val="true"/>
        <sz val="14"/>
        <rFont val="Malgun Gothic"/>
        <family val="0"/>
        <charset val="1"/>
      </rPr>
      <t xml:space="preserve">(34</t>
    </r>
    <r>
      <rPr>
        <b val="true"/>
        <sz val="14"/>
        <rFont val="Noto Sans CJK SC"/>
        <family val="2"/>
      </rPr>
      <t xml:space="preserve">개 항목</t>
    </r>
    <r>
      <rPr>
        <b val="true"/>
        <sz val="14"/>
        <rFont val="Malgun Gothic"/>
        <family val="0"/>
        <charset val="1"/>
      </rPr>
      <t xml:space="preserve">, v3: </t>
    </r>
    <r>
      <rPr>
        <b val="true"/>
        <sz val="14"/>
        <rFont val="Noto Sans CJK SC"/>
        <family val="2"/>
      </rPr>
      <t xml:space="preserve">만능기판 </t>
    </r>
    <r>
      <rPr>
        <b val="true"/>
        <sz val="14"/>
        <rFont val="Malgun Gothic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소켓 방식</t>
    </r>
    <r>
      <rPr>
        <b val="true"/>
        <sz val="14"/>
        <rFont val="Malgun Gothic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</si>
  <si>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노란 칸</t>
    </r>
    <r>
      <rPr>
        <i val="true"/>
        <sz val="10"/>
        <color rgb="FF595959"/>
        <rFont val="Malgun Gothic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구매 상태</t>
    </r>
    <r>
      <rPr>
        <i val="true"/>
        <sz val="10"/>
        <color rgb="FF595959"/>
        <rFont val="Malgun Gothic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을 갱신하세요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이미 구매한 점퍼선</t>
    </r>
    <r>
      <rPr>
        <i val="true"/>
        <sz val="10"/>
        <color rgb="FF595959"/>
        <rFont val="Malgun Gothic"/>
        <family val="0"/>
        <charset val="1"/>
      </rPr>
      <t xml:space="preserve">(M-M, M-F, F-F)</t>
    </r>
    <r>
      <rPr>
        <i val="true"/>
        <sz val="10"/>
        <color rgb="FF595959"/>
        <rFont val="Noto Sans CJK SC"/>
        <family val="2"/>
      </rPr>
      <t xml:space="preserve">과 라즈베리 파이는 </t>
    </r>
    <r>
      <rPr>
        <i val="true"/>
        <sz val="10"/>
        <color rgb="FF595959"/>
        <rFont val="Malgun Gothic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이미 보유</t>
    </r>
    <r>
      <rPr>
        <i val="true"/>
        <sz val="10"/>
        <color rgb="FF595959"/>
        <rFont val="Malgun Gothic"/>
        <family val="0"/>
        <charset val="1"/>
      </rPr>
      <t xml:space="preserve">' </t>
    </r>
    <r>
      <rPr>
        <i val="true"/>
        <sz val="10"/>
        <color rgb="FF595959"/>
        <rFont val="Noto Sans CJK SC"/>
        <family val="2"/>
      </rPr>
      <t xml:space="preserve">시트로 옮겼습니다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예</t>
    </r>
    <r>
      <rPr>
        <i val="true"/>
        <sz val="10"/>
        <color rgb="FF595959"/>
        <rFont val="Malgun Gothic"/>
        <family val="0"/>
        <charset val="1"/>
      </rPr>
      <t xml:space="preserve">) </t>
    </r>
    <r>
      <rPr>
        <i val="true"/>
        <sz val="10"/>
        <color rgb="FF595959"/>
        <rFont val="Noto Sans CJK SC"/>
        <family val="2"/>
      </rPr>
      <t xml:space="preserve">구매 상태</t>
    </r>
    <r>
      <rPr>
        <i val="true"/>
        <sz val="10"/>
        <color rgb="FF595959"/>
        <rFont val="Malgun Gothic"/>
        <family val="0"/>
        <charset val="1"/>
      </rPr>
      <t xml:space="preserve">: </t>
    </r>
    <r>
      <rPr>
        <i val="true"/>
        <sz val="10"/>
        <color rgb="FF595959"/>
        <rFont val="Noto Sans CJK SC"/>
        <family val="2"/>
      </rPr>
      <t xml:space="preserve">주문</t>
    </r>
  </si>
  <si>
    <t xml:space="preserve">번호</t>
  </si>
  <si>
    <t xml:space="preserve">분류</t>
  </si>
  <si>
    <t xml:space="preserve">부품명</t>
  </si>
  <si>
    <r>
      <rPr>
        <b val="true"/>
        <sz val="10"/>
        <color rgb="FFFFFFFF"/>
        <rFont val="Noto Sans CJK SC"/>
        <family val="2"/>
      </rPr>
      <t xml:space="preserve">규격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모델 예시</t>
    </r>
  </si>
  <si>
    <t xml:space="preserve">권장 수량</t>
  </si>
  <si>
    <t xml:space="preserve">용도</t>
  </si>
  <si>
    <t xml:space="preserve">구매 상태</t>
  </si>
  <si>
    <t xml:space="preserve">비고</t>
  </si>
  <si>
    <t xml:space="preserve">R-01</t>
  </si>
  <si>
    <r>
      <rPr>
        <sz val="10"/>
        <rFont val="Noto Sans CJK SC"/>
        <family val="2"/>
      </rPr>
      <t xml:space="preserve">전력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보호</t>
    </r>
  </si>
  <si>
    <t xml:space="preserve">퓨즈</t>
  </si>
  <si>
    <r>
      <rPr>
        <sz val="10"/>
        <rFont val="Malgun Gothic"/>
        <family val="0"/>
        <charset val="1"/>
      </rPr>
      <t xml:space="preserve">5×20mm </t>
    </r>
    <r>
      <rPr>
        <sz val="10"/>
        <rFont val="Noto Sans CJK SC"/>
        <family val="2"/>
      </rPr>
      <t xml:space="preserve">유리관 속단형 </t>
    </r>
    <r>
      <rPr>
        <sz val="10"/>
        <rFont val="Malgun Gothic"/>
        <family val="0"/>
        <charset val="1"/>
      </rPr>
      <t xml:space="preserve">4A (F4A)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</si>
  <si>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</si>
  <si>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t xml:space="preserve">과전류 최후 보호</t>
  </si>
  <si>
    <t xml:space="preserve">미구매</t>
  </si>
  <si>
    <r>
      <rPr>
        <sz val="10"/>
        <rFont val="Noto Sans CJK SC"/>
        <family val="2"/>
      </rPr>
      <t xml:space="preserve">정상 약 </t>
    </r>
    <r>
      <rPr>
        <sz val="10"/>
        <rFont val="Malgun Gothic"/>
        <family val="0"/>
        <charset val="1"/>
      </rPr>
      <t xml:space="preserve">1A, </t>
    </r>
    <r>
      <rPr>
        <sz val="10"/>
        <rFont val="Noto Sans CJK SC"/>
        <family val="2"/>
      </rPr>
      <t xml:space="preserve">시험 최대 약 </t>
    </r>
    <r>
      <rPr>
        <sz val="10"/>
        <rFont val="Malgun Gothic"/>
        <family val="0"/>
        <charset val="1"/>
      </rPr>
      <t xml:space="preserve">2.5A. </t>
    </r>
    <r>
      <rPr>
        <sz val="10"/>
        <rFont val="Noto Sans CJK SC"/>
        <family val="2"/>
      </rPr>
      <t xml:space="preserve">파워서플라이 </t>
    </r>
    <r>
      <rPr>
        <sz val="10"/>
        <rFont val="Malgun Gothic"/>
        <family val="0"/>
        <charset val="1"/>
      </rPr>
      <t xml:space="preserve">CC</t>
    </r>
    <r>
      <rPr>
        <sz val="10"/>
        <rFont val="Noto Sans CJK SC"/>
        <family val="2"/>
      </rPr>
      <t xml:space="preserve">는 약 </t>
    </r>
    <r>
      <rPr>
        <sz val="10"/>
        <rFont val="Malgun Gothic"/>
        <family val="0"/>
        <charset val="1"/>
      </rPr>
      <t xml:space="preserve">2.7A</t>
    </r>
    <r>
      <rPr>
        <sz val="10"/>
        <rFont val="Noto Sans CJK SC"/>
        <family val="2"/>
      </rPr>
      <t xml:space="preserve">로 설정</t>
    </r>
  </si>
  <si>
    <t xml:space="preserve">R-02</t>
  </si>
  <si>
    <t xml:space="preserve">퓨즈 홀더</t>
  </si>
  <si>
    <r>
      <rPr>
        <sz val="10"/>
        <rFont val="Malgun Gothic"/>
        <family val="0"/>
        <charset val="1"/>
      </rPr>
      <t xml:space="preserve">5×20mm </t>
    </r>
    <r>
      <rPr>
        <sz val="10"/>
        <rFont val="Noto Sans CJK SC"/>
        <family val="2"/>
      </rPr>
      <t xml:space="preserve">인라인 또는 패널형</t>
    </r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</si>
  <si>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</si>
  <si>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t xml:space="preserve">퓨즈 장착</t>
  </si>
  <si>
    <t xml:space="preserve">R-03</t>
  </si>
  <si>
    <t xml:space="preserve">릴레이</t>
  </si>
  <si>
    <r>
      <rPr>
        <sz val="10"/>
        <rFont val="Malgun Gothic"/>
        <family val="0"/>
        <charset val="1"/>
      </rPr>
      <t xml:space="preserve">SRD-05VDC-SL-C (</t>
    </r>
    <r>
      <rPr>
        <sz val="10"/>
        <rFont val="Noto Sans CJK SC"/>
        <family val="2"/>
      </rPr>
      <t xml:space="preserve">코일 </t>
    </r>
    <r>
      <rPr>
        <sz val="10"/>
        <rFont val="Malgun Gothic"/>
        <family val="0"/>
        <charset val="1"/>
      </rPr>
      <t xml:space="preserve">5V, </t>
    </r>
    <r>
      <rPr>
        <sz val="10"/>
        <rFont val="Noto Sans CJK SC"/>
        <family val="2"/>
      </rPr>
      <t xml:space="preserve">접점 약 </t>
    </r>
    <r>
      <rPr>
        <sz val="10"/>
        <rFont val="Malgun Gothic"/>
        <family val="0"/>
        <charset val="1"/>
      </rPr>
      <t xml:space="preserve">10A, DC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28~30V)</t>
    </r>
  </si>
  <si>
    <t xml:space="preserve">이상 시 부하 차단</t>
  </si>
  <si>
    <r>
      <rPr>
        <sz val="10"/>
        <rFont val="Noto Sans CJK SC"/>
        <family val="2"/>
      </rPr>
      <t xml:space="preserve">기판 밖에 설치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코일 핀에는 </t>
    </r>
    <r>
      <rPr>
        <sz val="10"/>
        <rFont val="Malgun Gothic"/>
        <family val="0"/>
        <charset val="1"/>
      </rPr>
      <t xml:space="preserve">22AWG, </t>
    </r>
    <r>
      <rPr>
        <sz val="10"/>
        <rFont val="Noto Sans CJK SC"/>
        <family val="2"/>
      </rPr>
      <t xml:space="preserve">접점</t>
    </r>
    <r>
      <rPr>
        <sz val="10"/>
        <rFont val="Malgun Gothic"/>
        <family val="0"/>
        <charset val="1"/>
      </rPr>
      <t xml:space="preserve">(COM, NO)</t>
    </r>
    <r>
      <rPr>
        <sz val="10"/>
        <rFont val="Noto Sans CJK SC"/>
        <family val="2"/>
      </rPr>
      <t xml:space="preserve">에는 </t>
    </r>
    <r>
      <rPr>
        <sz val="10"/>
        <rFont val="Malgun Gothic"/>
        <family val="0"/>
        <charset val="1"/>
      </rPr>
      <t xml:space="preserve">18AWG</t>
    </r>
    <r>
      <rPr>
        <sz val="10"/>
        <rFont val="Noto Sans CJK SC"/>
        <family val="2"/>
      </rPr>
      <t xml:space="preserve">를 직접 납땜하고 열수축 처리</t>
    </r>
    <r>
      <rPr>
        <sz val="10"/>
        <rFont val="Malgun Gothic"/>
        <family val="0"/>
        <charset val="1"/>
      </rPr>
      <t xml:space="preserve">. NO </t>
    </r>
    <r>
      <rPr>
        <sz val="10"/>
        <rFont val="Noto Sans CJK SC"/>
        <family val="2"/>
      </rPr>
      <t xml:space="preserve">접점 사용</t>
    </r>
  </si>
  <si>
    <t xml:space="preserve">R-04</t>
  </si>
  <si>
    <t xml:space="preserve">전류 센서 모듈</t>
  </si>
  <si>
    <t xml:space="preserve">ACS712-05B (±5A, 185mV/A)</t>
  </si>
  <si>
    <t xml:space="preserve">부하 전류 측정</t>
  </si>
  <si>
    <r>
      <rPr>
        <sz val="10"/>
        <rFont val="Noto Sans CJK SC"/>
        <family val="2"/>
      </rPr>
      <t xml:space="preserve">기판의 </t>
    </r>
    <r>
      <rPr>
        <sz val="10"/>
        <rFont val="Malgun Gothic"/>
        <family val="0"/>
        <charset val="1"/>
      </rPr>
      <t xml:space="preserve">J_ACS </t>
    </r>
    <r>
      <rPr>
        <sz val="10"/>
        <rFont val="Noto Sans CJK SC"/>
        <family val="2"/>
      </rPr>
      <t xml:space="preserve">수 핀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개에 </t>
    </r>
    <r>
      <rPr>
        <sz val="10"/>
        <rFont val="Malgun Gothic"/>
        <family val="0"/>
        <charset val="1"/>
      </rPr>
      <t xml:space="preserve">F-F </t>
    </r>
    <r>
      <rPr>
        <sz val="10"/>
        <rFont val="Noto Sans CJK SC"/>
        <family val="2"/>
      </rPr>
      <t xml:space="preserve">점퍼로 연결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핀 순서</t>
    </r>
    <r>
      <rPr>
        <sz val="10"/>
        <rFont val="Malgun Gothic"/>
        <family val="0"/>
        <charset val="1"/>
      </rPr>
      <t xml:space="preserve">(VCC, OUT, GND)</t>
    </r>
    <r>
      <rPr>
        <sz val="10"/>
        <rFont val="Noto Sans CJK SC"/>
        <family val="2"/>
      </rPr>
      <t xml:space="preserve">는 모듈 표기로 확인</t>
    </r>
  </si>
  <si>
    <t xml:space="preserve">R-05</t>
  </si>
  <si>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서미스터</t>
    </r>
  </si>
  <si>
    <r>
      <rPr>
        <sz val="10"/>
        <rFont val="Malgun Gothic"/>
        <family val="0"/>
        <charset val="1"/>
      </rPr>
      <t xml:space="preserve">10kΩ, B=3950, </t>
    </r>
    <r>
      <rPr>
        <sz val="10"/>
        <rFont val="Noto Sans CJK SC"/>
        <family val="2"/>
      </rPr>
      <t xml:space="preserve">프로브형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케이블 약 </t>
    </r>
    <r>
      <rPr>
        <sz val="10"/>
        <rFont val="Malgun Gothic"/>
        <family val="0"/>
        <charset val="1"/>
      </rPr>
      <t xml:space="preserve">1m)</t>
    </r>
  </si>
  <si>
    <t xml:space="preserve">과온도 감지</t>
  </si>
  <si>
    <r>
      <rPr>
        <sz val="10"/>
        <rFont val="Noto Sans CJK SC"/>
        <family val="2"/>
      </rPr>
      <t xml:space="preserve">시험 부하</t>
    </r>
    <r>
      <rPr>
        <sz val="10"/>
        <rFont val="Malgun Gothic"/>
        <family val="0"/>
        <charset val="1"/>
      </rPr>
      <t xml:space="preserve">(12Ω </t>
    </r>
    <r>
      <rPr>
        <sz val="10"/>
        <rFont val="Noto Sans CJK SC"/>
        <family val="2"/>
      </rPr>
      <t xml:space="preserve">저항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표면에 부착</t>
    </r>
  </si>
  <si>
    <t xml:space="preserve">R-06</t>
  </si>
  <si>
    <t xml:space="preserve">비상 정지 스위치</t>
  </si>
  <si>
    <r>
      <rPr>
        <sz val="10"/>
        <rFont val="Noto Sans CJK SC"/>
        <family val="2"/>
      </rPr>
      <t xml:space="preserve">푸시버튼 또는 버섯형</t>
    </r>
    <r>
      <rPr>
        <sz val="10"/>
        <rFont val="Malgun Gothic"/>
        <family val="0"/>
        <charset val="1"/>
      </rPr>
      <t xml:space="preserve">, NC(</t>
    </r>
    <r>
      <rPr>
        <sz val="10"/>
        <rFont val="Noto Sans CJK SC"/>
        <family val="2"/>
      </rPr>
      <t xml:space="preserve">상시 닫힘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</si>
  <si>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</si>
  <si>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릴레이 코일 </t>
    </r>
    <r>
      <rPr>
        <sz val="10"/>
        <rFont val="Malgun Gothic"/>
        <family val="0"/>
        <charset val="1"/>
      </rPr>
      <t xml:space="preserve">5V </t>
    </r>
    <r>
      <rPr>
        <sz val="10"/>
        <rFont val="Noto Sans CJK SC"/>
        <family val="2"/>
      </rPr>
      <t xml:space="preserve">라인을 끊어 </t>
    </r>
    <r>
      <rPr>
        <sz val="10"/>
        <rFont val="Malgun Gothic"/>
        <family val="0"/>
        <charset val="1"/>
      </rPr>
      <t xml:space="preserve">MCU</t>
    </r>
    <r>
      <rPr>
        <sz val="10"/>
        <rFont val="Noto Sans CJK SC"/>
        <family val="2"/>
      </rPr>
      <t xml:space="preserve">와 무관하게 차단</t>
    </r>
  </si>
  <si>
    <r>
      <rPr>
        <sz val="10"/>
        <rFont val="Noto Sans CJK SC"/>
        <family val="2"/>
      </rPr>
      <t xml:space="preserve">기판의 </t>
    </r>
    <r>
      <rPr>
        <sz val="10"/>
        <rFont val="Malgun Gothic"/>
        <family val="0"/>
        <charset val="1"/>
      </rPr>
      <t xml:space="preserve">J_ES </t>
    </r>
    <r>
      <rPr>
        <sz val="10"/>
        <rFont val="Noto Sans CJK SC"/>
        <family val="2"/>
      </rPr>
      <t xml:space="preserve">터미널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개에 직렬로 연결</t>
    </r>
  </si>
  <si>
    <t xml:space="preserve">R-07</t>
  </si>
  <si>
    <r>
      <rPr>
        <sz val="10"/>
        <rFont val="Noto Sans CJK SC"/>
        <family val="2"/>
      </rPr>
      <t xml:space="preserve">스크류 터미널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기판용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</si>
  <si>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5.08mm </t>
    </r>
    <r>
      <rPr>
        <sz val="10"/>
        <rFont val="Noto Sans CJK SC"/>
        <family val="2"/>
      </rPr>
      <t xml:space="preserve">피치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, PCB </t>
    </r>
    <r>
      <rPr>
        <sz val="10"/>
        <rFont val="Noto Sans CJK SC"/>
        <family val="2"/>
      </rPr>
      <t xml:space="preserve">납땜형</t>
    </r>
  </si>
  <si>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</si>
  <si>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J_N1, J_NTC, J_ES, J_COIL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</si>
  <si>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만능기판 구멍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칸 간격에 맞는 </t>
    </r>
    <r>
      <rPr>
        <sz val="10"/>
        <rFont val="Malgun Gothic"/>
        <family val="0"/>
        <charset val="1"/>
      </rPr>
      <t xml:space="preserve">5.08mm </t>
    </r>
    <r>
      <rPr>
        <sz val="10"/>
        <rFont val="Noto Sans CJK SC"/>
        <family val="2"/>
      </rPr>
      <t xml:space="preserve">제품</t>
    </r>
  </si>
  <si>
    <t xml:space="preserve">R-08</t>
  </si>
  <si>
    <r>
      <rPr>
        <sz val="10"/>
        <rFont val="Noto Sans CJK SC"/>
        <family val="2"/>
      </rPr>
      <t xml:space="preserve">터미널 블록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대전류 경로용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</si>
  <si>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나사식 </t>
    </r>
    <r>
      <rPr>
        <sz val="10"/>
        <rFont val="Malgun Gothic"/>
        <family val="0"/>
        <charset val="1"/>
      </rPr>
      <t xml:space="preserve">2P~4P, 10A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패널 또는 </t>
    </r>
    <r>
      <rPr>
        <sz val="10"/>
        <rFont val="Malgun Gothic"/>
        <family val="0"/>
        <charset val="1"/>
      </rPr>
      <t xml:space="preserve">DIN</t>
    </r>
    <r>
      <rPr>
        <sz val="10"/>
        <rFont val="Noto Sans CJK SC"/>
        <family val="2"/>
      </rPr>
      <t xml:space="preserve">형</t>
    </r>
  </si>
  <si>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</si>
  <si>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퓨즈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전류 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릴레이 접점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부하의 대전류 선 연결</t>
    </r>
  </si>
  <si>
    <r>
      <rPr>
        <sz val="10"/>
        <rFont val="Noto Sans CJK SC"/>
        <family val="2"/>
      </rPr>
      <t xml:space="preserve">기판 밖에서 사용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만능기판에 올리지 않음</t>
    </r>
  </si>
  <si>
    <t xml:space="preserve">R-09</t>
  </si>
  <si>
    <t xml:space="preserve">전선</t>
  </si>
  <si>
    <r>
      <rPr>
        <sz val="10"/>
        <rFont val="Malgun Gothic"/>
        <family val="0"/>
        <charset val="1"/>
      </rPr>
      <t xml:space="preserve">18AWG </t>
    </r>
    <r>
      <rPr>
        <sz val="10"/>
        <rFont val="Noto Sans CJK SC"/>
        <family val="2"/>
      </rPr>
      <t xml:space="preserve">실리콘 전선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흑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</si>
  <si>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각 </t>
    </r>
    <r>
      <rPr>
        <sz val="10"/>
        <rFont val="Malgun Gothic"/>
        <family val="0"/>
        <charset val="1"/>
      </rPr>
      <t xml:space="preserve">2m</t>
    </r>
  </si>
  <si>
    <t xml:space="preserve">주 전력 경로</t>
  </si>
  <si>
    <t xml:space="preserve">R-10</t>
  </si>
  <si>
    <r>
      <rPr>
        <sz val="10"/>
        <rFont val="Noto Sans CJK SC"/>
        <family val="2"/>
      </rPr>
      <t xml:space="preserve">구동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표시</t>
    </r>
  </si>
  <si>
    <r>
      <rPr>
        <sz val="10"/>
        <rFont val="Malgun Gothic"/>
        <family val="0"/>
        <charset val="1"/>
      </rPr>
      <t xml:space="preserve">NPN </t>
    </r>
    <r>
      <rPr>
        <sz val="10"/>
        <rFont val="Noto Sans CJK SC"/>
        <family val="2"/>
      </rPr>
      <t xml:space="preserve">트랜지스터</t>
    </r>
  </si>
  <si>
    <r>
      <rPr>
        <sz val="10"/>
        <rFont val="Malgun Gothic"/>
        <family val="0"/>
        <charset val="1"/>
      </rPr>
      <t xml:space="preserve">2N2222A (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BC337)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</si>
  <si>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</si>
  <si>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t xml:space="preserve">릴레이 코일 구동</t>
  </si>
  <si>
    <r>
      <rPr>
        <sz val="10"/>
        <rFont val="Malgun Gothic"/>
        <family val="0"/>
        <charset val="1"/>
      </rPr>
      <t xml:space="preserve">TO-92</t>
    </r>
    <r>
      <rPr>
        <sz val="10"/>
        <rFont val="Noto Sans CJK SC"/>
        <family val="2"/>
      </rPr>
      <t xml:space="preserve">는 핀 순서가 </t>
    </r>
    <r>
      <rPr>
        <sz val="10"/>
        <rFont val="Malgun Gothic"/>
        <family val="0"/>
        <charset val="1"/>
      </rPr>
      <t xml:space="preserve">E-B-C(PN2222A)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C-B-E(BC337)</t>
    </r>
    <r>
      <rPr>
        <sz val="10"/>
        <rFont val="Noto Sans CJK SC"/>
        <family val="2"/>
      </rPr>
      <t xml:space="preserve">로 다름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소켓은 위→아래 </t>
    </r>
    <r>
      <rPr>
        <sz val="10"/>
        <rFont val="Malgun Gothic"/>
        <family val="0"/>
        <charset val="1"/>
      </rPr>
      <t xml:space="preserve">C, B, E</t>
    </r>
  </si>
  <si>
    <t xml:space="preserve">R-11</t>
  </si>
  <si>
    <t xml:space="preserve">다이오드</t>
  </si>
  <si>
    <t xml:space="preserve">1N4007</t>
  </si>
  <si>
    <t xml:space="preserve">릴레이 코일 플라이백</t>
  </si>
  <si>
    <r>
      <rPr>
        <sz val="10"/>
        <rFont val="Noto Sans CJK SC"/>
        <family val="2"/>
      </rPr>
      <t xml:space="preserve">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캐소드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코일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쪽으로</t>
    </r>
  </si>
  <si>
    <t xml:space="preserve">R-12</t>
  </si>
  <si>
    <t xml:space="preserve">LED 5mm</t>
  </si>
  <si>
    <r>
      <rPr>
        <sz val="10"/>
        <rFont val="Noto Sans CJK SC"/>
        <family val="2"/>
      </rPr>
      <t xml:space="preserve">녹색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빨간색</t>
    </r>
  </si>
  <si>
    <r>
      <rPr>
        <sz val="10"/>
        <rFont val="Noto Sans CJK SC"/>
        <family val="2"/>
      </rPr>
      <t xml:space="preserve">각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</si>
  <si>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정상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차단 표시</t>
    </r>
  </si>
  <si>
    <t xml:space="preserve">R-13</t>
  </si>
  <si>
    <t xml:space="preserve">센싱 회로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</si>
  <si>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10kΩ 1% 1/4W</t>
    </r>
  </si>
  <si>
    <t xml:space="preserve">금속피막</t>
  </si>
  <si>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</si>
  <si>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R2, R3, Rref, Rpd 4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</t>
    </r>
  </si>
  <si>
    <r>
      <rPr>
        <sz val="10"/>
        <rFont val="Noto Sans CJK SC"/>
        <family val="2"/>
      </rPr>
      <t xml:space="preserve">소켓에 꽂을 저항 다리는 너무 굵지 않은 것</t>
    </r>
    <r>
      <rPr>
        <sz val="10"/>
        <rFont val="Malgun Gothic"/>
        <family val="0"/>
        <charset val="1"/>
      </rPr>
      <t xml:space="preserve">(0.6mm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</si>
  <si>
    <t xml:space="preserve">R-14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</si>
  <si>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68kΩ 1% 1/4W</t>
    </r>
  </si>
  <si>
    <r>
      <rPr>
        <sz val="10"/>
        <rFont val="Noto Sans CJK SC"/>
        <family val="2"/>
      </rPr>
      <t xml:space="preserve">전압 분압 </t>
    </r>
    <r>
      <rPr>
        <sz val="10"/>
        <rFont val="Malgun Gothic"/>
        <family val="0"/>
        <charset val="1"/>
      </rPr>
      <t xml:space="preserve">R1</t>
    </r>
  </si>
  <si>
    <r>
      <rPr>
        <sz val="10"/>
        <rFont val="Malgun Gothic"/>
        <family val="0"/>
        <charset val="1"/>
      </rPr>
      <t xml:space="preserve">12V → ADC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1.54V, </t>
    </r>
    <r>
      <rPr>
        <sz val="10"/>
        <rFont val="Noto Sans CJK SC"/>
        <family val="2"/>
      </rPr>
      <t xml:space="preserve">측정 가능 최대 약 </t>
    </r>
    <r>
      <rPr>
        <sz val="10"/>
        <rFont val="Malgun Gothic"/>
        <family val="0"/>
        <charset val="1"/>
      </rPr>
      <t xml:space="preserve">25.7V</t>
    </r>
  </si>
  <si>
    <t xml:space="preserve">R-15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</si>
  <si>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20kΩ 1% 1/4W</t>
    </r>
  </si>
  <si>
    <r>
      <rPr>
        <sz val="10"/>
        <rFont val="Noto Sans CJK SC"/>
        <family val="2"/>
      </rPr>
      <t xml:space="preserve">전류 센서 출력 분압 </t>
    </r>
    <r>
      <rPr>
        <sz val="10"/>
        <rFont val="Malgun Gothic"/>
        <family val="0"/>
        <charset val="1"/>
      </rPr>
      <t xml:space="preserve">R4</t>
    </r>
  </si>
  <si>
    <t xml:space="preserve">R-16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</si>
  <si>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470Ω 1/4W</t>
    </r>
  </si>
  <si>
    <t xml:space="preserve">탄소 또는 금속피막</t>
  </si>
  <si>
    <r>
      <rPr>
        <sz val="10"/>
        <rFont val="Noto Sans CJK SC"/>
        <family val="2"/>
      </rPr>
      <t xml:space="preserve">트랜지스터 베이스 저항 </t>
    </r>
    <r>
      <rPr>
        <sz val="10"/>
        <rFont val="Malgun Gothic"/>
        <family val="0"/>
        <charset val="1"/>
      </rPr>
      <t xml:space="preserve">Rb</t>
    </r>
  </si>
  <si>
    <t xml:space="preserve">R-17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</si>
  <si>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330Ω 1/4W</t>
    </r>
  </si>
  <si>
    <r>
      <rPr>
        <sz val="10"/>
        <rFont val="Malgun Gothic"/>
        <family val="0"/>
        <charset val="1"/>
      </rPr>
      <t xml:space="preserve">LED </t>
    </r>
    <r>
      <rPr>
        <sz val="10"/>
        <rFont val="Noto Sans CJK SC"/>
        <family val="2"/>
      </rPr>
      <t xml:space="preserve">전류 제한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</t>
    </r>
  </si>
  <si>
    <t xml:space="preserve">R-18</t>
  </si>
  <si>
    <r>
      <rPr>
        <sz val="10"/>
        <rFont val="Noto Sans CJK SC"/>
        <family val="2"/>
      </rPr>
      <t xml:space="preserve">세라믹 커패시터 </t>
    </r>
    <r>
      <rPr>
        <sz val="10"/>
        <rFont val="Malgun Gothic"/>
        <family val="0"/>
        <charset val="1"/>
      </rPr>
      <t xml:space="preserve">100nF</t>
    </r>
  </si>
  <si>
    <t xml:space="preserve">50V</t>
  </si>
  <si>
    <r>
      <rPr>
        <sz val="10"/>
        <rFont val="Malgun Gothic"/>
        <family val="0"/>
        <charset val="1"/>
      </rPr>
      <t xml:space="preserve">C1~C3 (ADC </t>
    </r>
    <r>
      <rPr>
        <sz val="10"/>
        <rFont val="Noto Sans CJK SC"/>
        <family val="2"/>
      </rPr>
      <t xml:space="preserve">필터</t>
    </r>
    <r>
      <rPr>
        <sz val="10"/>
        <rFont val="Malgun Gothic"/>
        <family val="0"/>
        <charset val="1"/>
      </rPr>
      <t xml:space="preserve">) + </t>
    </r>
    <r>
      <rPr>
        <sz val="10"/>
        <rFont val="Noto Sans CJK SC"/>
        <family val="2"/>
      </rPr>
      <t xml:space="preserve">예비</t>
    </r>
  </si>
  <si>
    <t xml:space="preserve">R-19</t>
  </si>
  <si>
    <r>
      <rPr>
        <sz val="10"/>
        <rFont val="Noto Sans CJK SC"/>
        <family val="2"/>
      </rPr>
      <t xml:space="preserve">전해 커패시터 </t>
    </r>
    <r>
      <rPr>
        <sz val="10"/>
        <rFont val="Malgun Gothic"/>
        <family val="0"/>
        <charset val="1"/>
      </rPr>
      <t xml:space="preserve">100µF</t>
    </r>
  </si>
  <si>
    <t xml:space="preserve">25V</t>
  </si>
  <si>
    <r>
      <rPr>
        <sz val="10"/>
        <rFont val="Malgun Gothic"/>
        <family val="0"/>
        <charset val="1"/>
      </rPr>
      <t xml:space="preserve">5V </t>
    </r>
    <r>
      <rPr>
        <sz val="10"/>
        <rFont val="Noto Sans CJK SC"/>
        <family val="2"/>
      </rPr>
      <t xml:space="preserve">라인 안정화 </t>
    </r>
    <r>
      <rPr>
        <sz val="10"/>
        <rFont val="Malgun Gothic"/>
        <family val="0"/>
        <charset val="1"/>
      </rPr>
      <t xml:space="preserve">(C_BULK 1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</si>
  <si>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 다리가 </t>
    </r>
    <r>
      <rPr>
        <sz val="10"/>
        <rFont val="Malgun Gothic"/>
        <family val="0"/>
        <charset val="1"/>
      </rPr>
      <t xml:space="preserve">+</t>
    </r>
  </si>
  <si>
    <t xml:space="preserve">R-20</t>
  </si>
  <si>
    <t xml:space="preserve">소신호 쇼트키 다이오드</t>
  </si>
  <si>
    <r>
      <rPr>
        <sz val="10"/>
        <rFont val="Malgun Gothic"/>
        <family val="0"/>
        <charset val="1"/>
      </rPr>
      <t xml:space="preserve">BAT85 (</t>
    </r>
    <r>
      <rPr>
        <sz val="10"/>
        <rFont val="Noto Sans CJK SC"/>
        <family val="2"/>
      </rPr>
      <t xml:space="preserve">저누설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</si>
  <si>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</si>
  <si>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입력 클램프 </t>
    </r>
    <r>
      <rPr>
        <sz val="10"/>
        <rFont val="Malgun Gothic"/>
        <family val="0"/>
        <charset val="1"/>
      </rPr>
      <t xml:space="preserve">D2~D7 6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</si>
  <si>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캐소드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방향 주의</t>
    </r>
  </si>
  <si>
    <t xml:space="preserve">R-21</t>
  </si>
  <si>
    <t xml:space="preserve">기판 제작</t>
  </si>
  <si>
    <t xml:space="preserve">만능기판</t>
  </si>
  <si>
    <r>
      <rPr>
        <sz val="10"/>
        <rFont val="Malgun Gothic"/>
        <family val="0"/>
        <charset val="1"/>
      </rPr>
      <t xml:space="preserve">9×15cm, </t>
    </r>
    <r>
      <rPr>
        <sz val="10"/>
        <rFont val="Noto Sans CJK SC"/>
        <family val="2"/>
      </rPr>
      <t xml:space="preserve">양면 스루홀 도트형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구멍 </t>
    </r>
    <r>
      <rPr>
        <sz val="10"/>
        <rFont val="Malgun Gothic"/>
        <family val="0"/>
        <charset val="1"/>
      </rPr>
      <t xml:space="preserve">2.54mm)</t>
    </r>
  </si>
  <si>
    <r>
      <rPr>
        <sz val="10"/>
        <rFont val="Noto Sans CJK SC"/>
        <family val="2"/>
      </rPr>
      <t xml:space="preserve">신호 회로 기판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</si>
  <si>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줄무늬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스트립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기판이 아니라 구멍이 독립된 도트형</t>
    </r>
  </si>
  <si>
    <t xml:space="preserve">R-22</t>
  </si>
  <si>
    <r>
      <rPr>
        <sz val="10"/>
        <rFont val="Noto Sans CJK SC"/>
        <family val="2"/>
      </rPr>
      <t xml:space="preserve">암 핀헤더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</si>
  <si>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1×40, 2.54mm </t>
    </r>
    <r>
      <rPr>
        <sz val="10"/>
        <rFont val="Noto Sans CJK SC"/>
        <family val="2"/>
      </rPr>
      <t xml:space="preserve">피치</t>
    </r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</si>
  <si>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(2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Malgun Gothic"/>
        <family val="0"/>
        <charset val="1"/>
      </rPr>
      <t xml:space="preserve">Q1(3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용 소켓 </t>
    </r>
    <r>
      <rPr>
        <sz val="10"/>
        <rFont val="Malgun Gothic"/>
        <family val="0"/>
        <charset val="1"/>
      </rPr>
      <t xml:space="preserve">= 17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</t>
    </r>
  </si>
  <si>
    <t xml:space="preserve">필요한 길이로 잘라서 사용</t>
  </si>
  <si>
    <t xml:space="preserve">R-23</t>
  </si>
  <si>
    <t xml:space="preserve">수 핀헤더</t>
  </si>
  <si>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, J_ACS 3</t>
    </r>
    <r>
      <rPr>
        <sz val="10"/>
        <rFont val="Noto Sans CJK SC"/>
        <family val="2"/>
      </rPr>
      <t xml:space="preserve">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신호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= 13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예비</t>
    </r>
  </si>
  <si>
    <r>
      <rPr>
        <sz val="10"/>
        <rFont val="Malgun Gothic"/>
        <family val="0"/>
        <charset val="1"/>
      </rPr>
      <t xml:space="preserve">F-F </t>
    </r>
    <r>
      <rPr>
        <sz val="10"/>
        <rFont val="Noto Sans CJK SC"/>
        <family val="2"/>
      </rPr>
      <t xml:space="preserve">점퍼선이 꽂히는 핀</t>
    </r>
  </si>
  <si>
    <t xml:space="preserve">R-24</t>
  </si>
  <si>
    <t xml:space="preserve">배선용 절연 전선</t>
  </si>
  <si>
    <r>
      <rPr>
        <sz val="10"/>
        <rFont val="Malgun Gothic"/>
        <family val="0"/>
        <charset val="1"/>
      </rPr>
      <t xml:space="preserve">22~26AWG </t>
    </r>
    <r>
      <rPr>
        <sz val="10"/>
        <rFont val="Noto Sans CJK SC"/>
        <family val="2"/>
      </rPr>
      <t xml:space="preserve">단선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여러 색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</si>
  <si>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세트</t>
    </r>
  </si>
  <si>
    <t xml:space="preserve">납땜면 점대점 배선</t>
  </si>
  <si>
    <t xml:space="preserve">피복 벗기기 쉬운 단선</t>
  </si>
  <si>
    <t xml:space="preserve">R-25</t>
  </si>
  <si>
    <r>
      <rPr>
        <sz val="10"/>
        <rFont val="Noto Sans CJK SC"/>
        <family val="2"/>
      </rPr>
      <t xml:space="preserve">주석도금 동선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맨선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</si>
  <si>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0.6~0.8mm </t>
    </r>
    <r>
      <rPr>
        <sz val="10"/>
        <rFont val="Noto Sans CJK SC"/>
        <family val="2"/>
      </rPr>
      <t xml:space="preserve">단선</t>
    </r>
  </si>
  <si>
    <t xml:space="preserve">1m</t>
  </si>
  <si>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열 따라 가는 버스 배선</t>
    </r>
  </si>
  <si>
    <t xml:space="preserve">남는 저항 다리로 대체 가능</t>
  </si>
  <si>
    <t xml:space="preserve">R-26</t>
  </si>
  <si>
    <t xml:space="preserve">납땜 도구 세트</t>
  </si>
  <si>
    <r>
      <rPr>
        <sz val="10"/>
        <rFont val="Noto Sans CJK SC"/>
        <family val="2"/>
      </rPr>
      <t xml:space="preserve">온도조절 인두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납</t>
    </r>
    <r>
      <rPr>
        <sz val="10"/>
        <rFont val="Malgun Gothic"/>
        <family val="0"/>
        <charset val="1"/>
      </rPr>
      <t xml:space="preserve">(0.8mm), </t>
    </r>
    <r>
      <rPr>
        <sz val="10"/>
        <rFont val="Noto Sans CJK SC"/>
        <family val="2"/>
      </rPr>
      <t xml:space="preserve">플럭스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솔더윅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니퍼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와이어 스트리퍼</t>
    </r>
  </si>
  <si>
    <r>
      <rPr>
        <sz val="10"/>
        <rFont val="Noto Sans CJK SC"/>
        <family val="2"/>
      </rPr>
      <t xml:space="preserve">납땜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수정</t>
    </r>
  </si>
  <si>
    <t xml:space="preserve">이미 있으면 제외</t>
  </si>
  <si>
    <t xml:space="preserve">R-27</t>
  </si>
  <si>
    <r>
      <rPr>
        <sz val="10"/>
        <rFont val="Noto Sans CJK SC"/>
        <family val="2"/>
      </rPr>
      <t xml:space="preserve">제작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</si>
  <si>
    <t xml:space="preserve">브레드보드</t>
  </si>
  <si>
    <r>
      <rPr>
        <sz val="10"/>
        <rFont val="Malgun Gothic"/>
        <family val="0"/>
        <charset val="1"/>
      </rPr>
      <t xml:space="preserve">830</t>
    </r>
    <r>
      <rPr>
        <sz val="10"/>
        <rFont val="Noto Sans CJK SC"/>
        <family val="2"/>
      </rPr>
      <t xml:space="preserve">핀</t>
    </r>
  </si>
  <si>
    <t xml:space="preserve">납땜 전 회로 시험</t>
  </si>
  <si>
    <t xml:space="preserve">수정이 잦을 것이므로 먼저 시험 권장</t>
  </si>
  <si>
    <t xml:space="preserve">R-28</t>
  </si>
  <si>
    <t xml:space="preserve">열수축 튜브 세트</t>
  </si>
  <si>
    <t xml:space="preserve">릴레이 핀과 전선 연결부 절연</t>
  </si>
  <si>
    <t xml:space="preserve">R-29</t>
  </si>
  <si>
    <t xml:space="preserve">시험 부하</t>
  </si>
  <si>
    <r>
      <rPr>
        <sz val="10"/>
        <rFont val="Noto Sans CJK SC"/>
        <family val="2"/>
      </rPr>
      <t xml:space="preserve">알루미늄 방열 저항 </t>
    </r>
    <r>
      <rPr>
        <sz val="10"/>
        <rFont val="Malgun Gothic"/>
        <family val="0"/>
        <charset val="1"/>
      </rPr>
      <t xml:space="preserve">50W 12Ω</t>
    </r>
  </si>
  <si>
    <t xml:space="preserve">알루미늄 하우징형</t>
  </si>
  <si>
    <r>
      <rPr>
        <sz val="10"/>
        <rFont val="Noto Sans CJK SC"/>
        <family val="2"/>
      </rPr>
      <t xml:space="preserve">상시 부하 </t>
    </r>
    <r>
      <rPr>
        <sz val="10"/>
        <rFont val="Malgun Gothic"/>
        <family val="0"/>
        <charset val="1"/>
      </rPr>
      <t xml:space="preserve">(12V</t>
    </r>
    <r>
      <rPr>
        <sz val="10"/>
        <rFont val="Noto Sans CJK SC"/>
        <family val="2"/>
      </rPr>
      <t xml:space="preserve">에서 약 </t>
    </r>
    <r>
      <rPr>
        <sz val="10"/>
        <rFont val="Malgun Gothic"/>
        <family val="0"/>
        <charset val="1"/>
      </rPr>
      <t xml:space="preserve">1A,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12W)</t>
    </r>
  </si>
  <si>
    <r>
      <rPr>
        <sz val="10"/>
        <rFont val="Malgun Gothic"/>
        <family val="0"/>
        <charset val="1"/>
      </rPr>
      <t xml:space="preserve">NTC</t>
    </r>
    <r>
      <rPr>
        <sz val="10"/>
        <rFont val="Noto Sans CJK SC"/>
        <family val="2"/>
      </rPr>
      <t xml:space="preserve">를 이 저항에 부착</t>
    </r>
  </si>
  <si>
    <t xml:space="preserve">R-30</t>
  </si>
  <si>
    <r>
      <rPr>
        <sz val="10"/>
        <rFont val="Noto Sans CJK SC"/>
        <family val="2"/>
      </rPr>
      <t xml:space="preserve">알루미늄 방열 저항 </t>
    </r>
    <r>
      <rPr>
        <sz val="10"/>
        <rFont val="Malgun Gothic"/>
        <family val="0"/>
        <charset val="1"/>
      </rPr>
      <t xml:space="preserve">50W 8.2Ω</t>
    </r>
  </si>
  <si>
    <r>
      <rPr>
        <sz val="10"/>
        <rFont val="Noto Sans CJK SC"/>
        <family val="2"/>
      </rPr>
      <t xml:space="preserve">과전류 시험용 추가 부하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병렬 투입 시 약 </t>
    </r>
    <r>
      <rPr>
        <sz val="10"/>
        <rFont val="Malgun Gothic"/>
        <family val="0"/>
        <charset val="1"/>
      </rPr>
      <t xml:space="preserve">2.5A)</t>
    </r>
  </si>
  <si>
    <r>
      <rPr>
        <sz val="10"/>
        <rFont val="Malgun Gothic"/>
        <family val="0"/>
        <charset val="1"/>
      </rPr>
      <t xml:space="preserve">12V</t>
    </r>
    <r>
      <rPr>
        <sz val="10"/>
        <rFont val="Noto Sans CJK SC"/>
        <family val="2"/>
      </rPr>
      <t xml:space="preserve">에서 이 저항만 약 </t>
    </r>
    <r>
      <rPr>
        <sz val="10"/>
        <rFont val="Malgun Gothic"/>
        <family val="0"/>
        <charset val="1"/>
      </rPr>
      <t xml:space="preserve">18W </t>
    </r>
    <r>
      <rPr>
        <sz val="10"/>
        <rFont val="Noto Sans CJK SC"/>
        <family val="2"/>
      </rPr>
      <t xml:space="preserve">발열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짧게만 시험</t>
    </r>
  </si>
  <si>
    <t xml:space="preserve">R-31</t>
  </si>
  <si>
    <t xml:space="preserve">토글 스위치</t>
  </si>
  <si>
    <r>
      <rPr>
        <sz val="10"/>
        <rFont val="Malgun Gothic"/>
        <family val="0"/>
        <charset val="1"/>
      </rPr>
      <t xml:space="preserve">SPST, 10A </t>
    </r>
    <r>
      <rPr>
        <sz val="10"/>
        <rFont val="Noto Sans CJK SC"/>
        <family val="2"/>
      </rPr>
      <t xml:space="preserve">이상</t>
    </r>
  </si>
  <si>
    <r>
      <rPr>
        <sz val="10"/>
        <rFont val="Malgun Gothic"/>
        <family val="0"/>
        <charset val="1"/>
      </rPr>
      <t xml:space="preserve">8.2Ω </t>
    </r>
    <r>
      <rPr>
        <sz val="10"/>
        <rFont val="Noto Sans CJK SC"/>
        <family val="2"/>
      </rPr>
      <t xml:space="preserve">부하를 병렬로 투입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분리</t>
    </r>
  </si>
  <si>
    <t xml:space="preserve">과전류 시험 스위치</t>
  </si>
  <si>
    <t xml:space="preserve">R-32</t>
  </si>
  <si>
    <r>
      <rPr>
        <sz val="10"/>
        <rFont val="Noto Sans CJK SC"/>
        <family val="2"/>
      </rPr>
      <t xml:space="preserve">방열판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고정 나사</t>
    </r>
  </si>
  <si>
    <t xml:space="preserve">저항을 장착할 수 있는 알루미늄 방열판</t>
  </si>
  <si>
    <t xml:space="preserve">저항 방열</t>
  </si>
  <si>
    <t xml:space="preserve">방열판 없이는 매우 뜨거워짐</t>
  </si>
  <si>
    <t xml:space="preserve">R-33</t>
  </si>
  <si>
    <t xml:space="preserve">카프톤 테이프 또는 써멀 테이프</t>
  </si>
  <si>
    <r>
      <rPr>
        <sz val="10"/>
        <rFont val="Malgun Gothic"/>
        <family val="0"/>
        <charset val="1"/>
      </rPr>
      <t xml:space="preserve">NTC</t>
    </r>
    <r>
      <rPr>
        <sz val="10"/>
        <rFont val="Noto Sans CJK SC"/>
        <family val="2"/>
      </rPr>
      <t xml:space="preserve">를 저항에 고정</t>
    </r>
  </si>
  <si>
    <t xml:space="preserve">R-34</t>
  </si>
  <si>
    <t xml:space="preserve">디지털 멀티미터</t>
  </si>
  <si>
    <r>
      <rPr>
        <sz val="10"/>
        <rFont val="Noto Sans CJK SC"/>
        <family val="2"/>
      </rPr>
      <t xml:space="preserve">전압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저항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도통 측정</t>
    </r>
  </si>
  <si>
    <r>
      <rPr>
        <sz val="10"/>
        <rFont val="Noto Sans CJK SC"/>
        <family val="2"/>
      </rPr>
      <t xml:space="preserve">이미 있으면 제외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납땜 후 단락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도통 확인에 필수</t>
    </r>
  </si>
  <si>
    <r>
      <rPr>
        <b val="true"/>
        <sz val="14"/>
        <rFont val="Noto Sans CJK SC"/>
        <family val="2"/>
      </rPr>
      <t xml:space="preserve">추가로 필요할 수 있는 부품 </t>
    </r>
    <r>
      <rPr>
        <b val="true"/>
        <sz val="14"/>
        <rFont val="Malgun Gothic"/>
        <family val="0"/>
        <charset val="1"/>
      </rPr>
      <t xml:space="preserve">(17</t>
    </r>
    <r>
      <rPr>
        <b val="true"/>
        <sz val="14"/>
        <rFont val="Noto Sans CJK SC"/>
        <family val="2"/>
      </rPr>
      <t xml:space="preserve">개 항목</t>
    </r>
    <r>
      <rPr>
        <b val="true"/>
        <sz val="14"/>
        <rFont val="Malgun Gothic"/>
        <family val="0"/>
        <charset val="1"/>
      </rPr>
      <t xml:space="preserve">, v3)</t>
    </r>
  </si>
  <si>
    <r>
      <rPr>
        <i val="true"/>
        <sz val="10"/>
        <color rgb="FF595959"/>
        <rFont val="Noto Sans CJK SC"/>
        <family val="2"/>
      </rPr>
      <t xml:space="preserve">상황에 따라 필요한 부품입니다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필요해지는 시점에 구매 상태를 갱신하세요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</si>
  <si>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필요한 경우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용도</t>
    </r>
  </si>
  <si>
    <t xml:space="preserve">O-01</t>
  </si>
  <si>
    <t xml:space="preserve">표시</t>
  </si>
  <si>
    <r>
      <rPr>
        <sz val="10"/>
        <rFont val="Noto Sans CJK SC"/>
        <family val="2"/>
      </rPr>
      <t xml:space="preserve">능동 부저 </t>
    </r>
    <r>
      <rPr>
        <sz val="10"/>
        <rFont val="Malgun Gothic"/>
        <family val="0"/>
        <charset val="1"/>
      </rPr>
      <t xml:space="preserve">5V</t>
    </r>
  </si>
  <si>
    <r>
      <rPr>
        <sz val="10"/>
        <rFont val="Noto Sans CJK SC"/>
        <family val="2"/>
      </rPr>
      <t xml:space="preserve">트랜지스터</t>
    </r>
    <r>
      <rPr>
        <sz val="10"/>
        <rFont val="Malgun Gothic"/>
        <family val="0"/>
        <charset val="1"/>
      </rPr>
      <t xml:space="preserve">(2N2222A + 1kΩ)</t>
    </r>
    <r>
      <rPr>
        <sz val="10"/>
        <rFont val="Noto Sans CJK SC"/>
        <family val="2"/>
      </rPr>
      <t xml:space="preserve">로 구동</t>
    </r>
  </si>
  <si>
    <t xml:space="preserve">경보음</t>
  </si>
  <si>
    <r>
      <rPr>
        <sz val="10"/>
        <rFont val="Malgun Gothic"/>
        <family val="0"/>
        <charset val="1"/>
      </rPr>
      <t xml:space="preserve">PC1</t>
    </r>
    <r>
      <rPr>
        <sz val="10"/>
        <rFont val="Noto Sans CJK SC"/>
        <family val="2"/>
      </rPr>
      <t xml:space="preserve">에 연결 예정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기판 여유 공간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47~59)</t>
    </r>
    <r>
      <rPr>
        <sz val="10"/>
        <rFont val="Noto Sans CJK SC"/>
        <family val="2"/>
      </rPr>
      <t xml:space="preserve">에 추가 가능</t>
    </r>
  </si>
  <si>
    <t xml:space="preserve">O-02</t>
  </si>
  <si>
    <t xml:space="preserve">보호</t>
  </si>
  <si>
    <r>
      <rPr>
        <sz val="10"/>
        <rFont val="Malgun Gothic"/>
        <family val="0"/>
        <charset val="1"/>
      </rPr>
      <t xml:space="preserve">TVS </t>
    </r>
    <r>
      <rPr>
        <sz val="10"/>
        <rFont val="Noto Sans CJK SC"/>
        <family val="2"/>
      </rPr>
      <t xml:space="preserve">다이오드</t>
    </r>
  </si>
  <si>
    <r>
      <rPr>
        <sz val="10"/>
        <rFont val="Malgun Gothic"/>
        <family val="0"/>
        <charset val="1"/>
      </rPr>
      <t xml:space="preserve">SMBJ15A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P6KE18A</t>
    </r>
  </si>
  <si>
    <t xml:space="preserve">입력 전압 서지 보호</t>
  </si>
  <si>
    <t xml:space="preserve">전원 공급기에서 스파이크가 의심될 때</t>
  </si>
  <si>
    <t xml:space="preserve">O-03</t>
  </si>
  <si>
    <t xml:space="preserve">역극성 보호</t>
  </si>
  <si>
    <r>
      <rPr>
        <sz val="10"/>
        <rFont val="Noto Sans CJK SC"/>
        <family val="2"/>
      </rPr>
      <t xml:space="preserve">쇼트키 다이오드</t>
    </r>
    <r>
      <rPr>
        <sz val="10"/>
        <rFont val="Malgun Gothic"/>
        <family val="0"/>
        <charset val="1"/>
      </rPr>
      <t xml:space="preserve">(SB560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P-MOSFET </t>
    </r>
    <r>
      <rPr>
        <sz val="10"/>
        <rFont val="Noto Sans CJK SC"/>
        <family val="2"/>
      </rPr>
      <t xml:space="preserve">모듈</t>
    </r>
  </si>
  <si>
    <t xml:space="preserve">전원 극성 반대 연결 방지</t>
  </si>
  <si>
    <t xml:space="preserve">전류가 크면 다이오드 발열 주의</t>
  </si>
  <si>
    <t xml:space="preserve">O-04</t>
  </si>
  <si>
    <t xml:space="preserve">측정</t>
  </si>
  <si>
    <r>
      <rPr>
        <sz val="10"/>
        <rFont val="Malgun Gothic"/>
        <family val="0"/>
        <charset val="1"/>
      </rPr>
      <t xml:space="preserve">INA226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INA219 </t>
    </r>
    <r>
      <rPr>
        <sz val="10"/>
        <rFont val="Noto Sans CJK SC"/>
        <family val="2"/>
      </rPr>
      <t xml:space="preserve">모듈</t>
    </r>
  </si>
  <si>
    <r>
      <rPr>
        <sz val="10"/>
        <rFont val="Malgun Gothic"/>
        <family val="0"/>
        <charset val="1"/>
      </rPr>
      <t xml:space="preserve">I2C </t>
    </r>
    <r>
      <rPr>
        <sz val="10"/>
        <rFont val="Noto Sans CJK SC"/>
        <family val="2"/>
      </rPr>
      <t xml:space="preserve">전압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전류 측정</t>
    </r>
  </si>
  <si>
    <t xml:space="preserve">정밀 측정 대안</t>
  </si>
  <si>
    <r>
      <rPr>
        <sz val="10"/>
        <rFont val="Malgun Gothic"/>
        <family val="0"/>
        <charset val="1"/>
      </rPr>
      <t xml:space="preserve">ACS712 </t>
    </r>
    <r>
      <rPr>
        <sz val="10"/>
        <rFont val="Noto Sans CJK SC"/>
        <family val="2"/>
      </rPr>
      <t xml:space="preserve">노이즈나 정확도가 부족할 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측정 전압 범위 확인</t>
    </r>
  </si>
  <si>
    <t xml:space="preserve">O-05</t>
  </si>
  <si>
    <t xml:space="preserve">차단</t>
  </si>
  <si>
    <r>
      <rPr>
        <sz val="10"/>
        <rFont val="Malgun Gothic"/>
        <family val="0"/>
        <charset val="1"/>
      </rPr>
      <t xml:space="preserve">DC</t>
    </r>
    <r>
      <rPr>
        <sz val="10"/>
        <rFont val="Noto Sans CJK SC"/>
        <family val="2"/>
      </rPr>
      <t xml:space="preserve">용 </t>
    </r>
    <r>
      <rPr>
        <sz val="10"/>
        <rFont val="Malgun Gothic"/>
        <family val="0"/>
        <charset val="1"/>
      </rPr>
      <t xml:space="preserve">SSR</t>
    </r>
  </si>
  <si>
    <r>
      <rPr>
        <sz val="10"/>
        <rFont val="Malgun Gothic"/>
        <family val="0"/>
        <charset val="1"/>
      </rPr>
      <t xml:space="preserve">DC-DC 40A</t>
    </r>
    <r>
      <rPr>
        <sz val="10"/>
        <rFont val="Noto Sans CJK SC"/>
        <family val="2"/>
      </rPr>
      <t xml:space="preserve">급 모듈</t>
    </r>
  </si>
  <si>
    <r>
      <rPr>
        <sz val="10"/>
        <rFont val="Noto Sans CJK SC"/>
        <family val="2"/>
      </rPr>
      <t xml:space="preserve">릴레이 대체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아크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수명</t>
    </r>
    <r>
      <rPr>
        <sz val="10"/>
        <rFont val="Malgun Gothic"/>
        <family val="0"/>
        <charset val="1"/>
      </rPr>
      <t xml:space="preserve">)</t>
    </r>
  </si>
  <si>
    <t xml:space="preserve">릴레이 접점이 부하에 맞지 않을 때</t>
  </si>
  <si>
    <t xml:space="preserve">O-06</t>
  </si>
  <si>
    <r>
      <rPr>
        <sz val="10"/>
        <rFont val="Noto Sans CJK SC"/>
        <family val="2"/>
      </rPr>
      <t xml:space="preserve">릴레이 모듈 </t>
    </r>
    <r>
      <rPr>
        <sz val="10"/>
        <rFont val="Malgun Gothic"/>
        <family val="0"/>
        <charset val="1"/>
      </rPr>
      <t xml:space="preserve">5V (</t>
    </r>
    <r>
      <rPr>
        <sz val="10"/>
        <rFont val="Noto Sans CJK SC"/>
        <family val="2"/>
      </rPr>
      <t xml:space="preserve">트랜지스터 구동형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</si>
  <si>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채널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접점 스크류 터미널</t>
    </r>
  </si>
  <si>
    <t xml:space="preserve">릴레이 배선이 어려울 때 대체</t>
  </si>
  <si>
    <r>
      <rPr>
        <sz val="10"/>
        <rFont val="Malgun Gothic"/>
        <family val="0"/>
        <charset val="1"/>
      </rPr>
      <t xml:space="preserve">IN </t>
    </r>
    <r>
      <rPr>
        <sz val="10"/>
        <rFont val="Noto Sans CJK SC"/>
        <family val="2"/>
      </rPr>
      <t xml:space="preserve">논리</t>
    </r>
    <r>
      <rPr>
        <sz val="10"/>
        <rFont val="Malgun Gothic"/>
        <family val="0"/>
        <charset val="1"/>
      </rPr>
      <t xml:space="preserve">(Active LOW/HIGH)</t>
    </r>
    <r>
      <rPr>
        <sz val="10"/>
        <rFont val="Noto Sans CJK SC"/>
        <family val="2"/>
      </rPr>
      <t xml:space="preserve">에 따라 기판의 구동부</t>
    </r>
    <r>
      <rPr>
        <sz val="10"/>
        <rFont val="Malgun Gothic"/>
        <family val="0"/>
        <charset val="1"/>
      </rPr>
      <t xml:space="preserve">(Q1, Rb, D1)</t>
    </r>
    <r>
      <rPr>
        <sz val="10"/>
        <rFont val="Noto Sans CJK SC"/>
        <family val="2"/>
      </rPr>
      <t xml:space="preserve">를 생략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부팅 시 동작 확인 필요</t>
    </r>
  </si>
  <si>
    <t xml:space="preserve">O-07</t>
  </si>
  <si>
    <t xml:space="preserve">전류</t>
  </si>
  <si>
    <r>
      <rPr>
        <sz val="10"/>
        <rFont val="Malgun Gothic"/>
        <family val="0"/>
        <charset val="1"/>
      </rPr>
      <t xml:space="preserve">ACS712-20A </t>
    </r>
    <r>
      <rPr>
        <sz val="10"/>
        <rFont val="Noto Sans CJK SC"/>
        <family val="2"/>
      </rPr>
      <t xml:space="preserve">모듈</t>
    </r>
  </si>
  <si>
    <t xml:space="preserve">±20A, 100mV/A</t>
  </si>
  <si>
    <t xml:space="preserve">부하 전류를 키울 때</t>
  </si>
  <si>
    <r>
      <rPr>
        <sz val="10"/>
        <rFont val="Noto Sans CJK SC"/>
        <family val="2"/>
      </rPr>
      <t xml:space="preserve">현재 계획</t>
    </r>
    <r>
      <rPr>
        <sz val="10"/>
        <rFont val="Malgun Gothic"/>
        <family val="0"/>
        <charset val="1"/>
      </rPr>
      <t xml:space="preserve">(2A </t>
    </r>
    <r>
      <rPr>
        <sz val="10"/>
        <rFont val="Noto Sans CJK SC"/>
        <family val="2"/>
      </rPr>
      <t xml:space="preserve">차단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에는 불필요</t>
    </r>
  </si>
  <si>
    <t xml:space="preserve">O-08</t>
  </si>
  <si>
    <t xml:space="preserve">제작</t>
  </si>
  <si>
    <t xml:space="preserve">케이스와 스탠드오프</t>
  </si>
  <si>
    <r>
      <rPr>
        <sz val="10"/>
        <rFont val="Noto Sans CJK SC"/>
        <family val="2"/>
      </rPr>
      <t xml:space="preserve">보드 고정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감전 방지</t>
    </r>
  </si>
  <si>
    <r>
      <rPr>
        <sz val="10"/>
        <rFont val="Noto Sans CJK SC"/>
        <family val="2"/>
      </rPr>
      <t xml:space="preserve">기판 모서리 구멍에 맞는 </t>
    </r>
    <r>
      <rPr>
        <sz val="10"/>
        <rFont val="Malgun Gothic"/>
        <family val="0"/>
        <charset val="1"/>
      </rPr>
      <t xml:space="preserve">M3 </t>
    </r>
    <r>
      <rPr>
        <sz val="10"/>
        <rFont val="Noto Sans CJK SC"/>
        <family val="2"/>
      </rPr>
      <t xml:space="preserve">스탠드오프</t>
    </r>
  </si>
  <si>
    <t xml:space="preserve">O-09</t>
  </si>
  <si>
    <r>
      <rPr>
        <sz val="10"/>
        <rFont val="Noto Sans CJK SC"/>
        <family val="2"/>
      </rPr>
      <t xml:space="preserve">기판 홀더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제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의 손</t>
    </r>
    <r>
      <rPr>
        <sz val="10"/>
        <rFont val="Malgun Gothic"/>
        <family val="0"/>
        <charset val="1"/>
      </rPr>
      <t xml:space="preserve">)</t>
    </r>
  </si>
  <si>
    <t xml:space="preserve">납땜 작업 보조</t>
  </si>
  <si>
    <t xml:space="preserve">O-10</t>
  </si>
  <si>
    <t xml:space="preserve">이소프로필 알코올과 칫솔</t>
  </si>
  <si>
    <t xml:space="preserve">플럭스 세척</t>
  </si>
  <si>
    <t xml:space="preserve">O-11</t>
  </si>
  <si>
    <t xml:space="preserve">보안경</t>
  </si>
  <si>
    <t xml:space="preserve">납땜 튐 방지</t>
  </si>
  <si>
    <t xml:space="preserve">O-12</t>
  </si>
  <si>
    <t xml:space="preserve">시험</t>
  </si>
  <si>
    <r>
      <rPr>
        <sz val="10"/>
        <rFont val="Noto Sans CJK SC"/>
        <family val="2"/>
      </rPr>
      <t xml:space="preserve">악어클립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바나나 케이블</t>
    </r>
  </si>
  <si>
    <r>
      <rPr>
        <sz val="10"/>
        <rFont val="Noto Sans CJK SC"/>
        <family val="2"/>
      </rPr>
      <t xml:space="preserve">각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</si>
  <si>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t xml:space="preserve">파워서플라이 연결</t>
  </si>
  <si>
    <t xml:space="preserve">O-13</t>
  </si>
  <si>
    <r>
      <rPr>
        <sz val="10"/>
        <rFont val="Noto Sans CJK SC"/>
        <family val="2"/>
      </rPr>
      <t xml:space="preserve">로직 애널라이저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채널</t>
    </r>
  </si>
  <si>
    <r>
      <rPr>
        <sz val="10"/>
        <rFont val="Malgun Gothic"/>
        <family val="0"/>
        <charset val="1"/>
      </rPr>
      <t xml:space="preserve">24MHz</t>
    </r>
    <r>
      <rPr>
        <sz val="10"/>
        <rFont val="Noto Sans CJK SC"/>
        <family val="2"/>
      </rPr>
      <t xml:space="preserve">급</t>
    </r>
  </si>
  <si>
    <r>
      <rPr>
        <sz val="10"/>
        <rFont val="Malgun Gothic"/>
        <family val="0"/>
        <charset val="1"/>
      </rPr>
      <t xml:space="preserve">CAN, SPI </t>
    </r>
    <r>
      <rPr>
        <sz val="10"/>
        <rFont val="Noto Sans CJK SC"/>
        <family val="2"/>
      </rPr>
      <t xml:space="preserve">신호 디버깅</t>
    </r>
  </si>
  <si>
    <t xml:space="preserve">오실로스코프를 쓸 수 있으면 제외</t>
  </si>
  <si>
    <t xml:space="preserve">O-14</t>
  </si>
  <si>
    <t xml:space="preserve">히트건 또는 드라이어</t>
  </si>
  <si>
    <r>
      <rPr>
        <sz val="10"/>
        <rFont val="Noto Sans CJK SC"/>
        <family val="2"/>
      </rPr>
      <t xml:space="preserve">과온도 시험</t>
    </r>
    <r>
      <rPr>
        <sz val="10"/>
        <rFont val="Malgun Gothic"/>
        <family val="0"/>
        <charset val="1"/>
      </rPr>
      <t xml:space="preserve">(NTC </t>
    </r>
    <r>
      <rPr>
        <sz val="10"/>
        <rFont val="Noto Sans CJK SC"/>
        <family val="2"/>
      </rPr>
      <t xml:space="preserve">가열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</si>
  <si>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사실상 시험에 필요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구하기 어렵다면 필수로 전환</t>
    </r>
  </si>
  <si>
    <t xml:space="preserve">O-15</t>
  </si>
  <si>
    <t xml:space="preserve">통신</t>
  </si>
  <si>
    <r>
      <rPr>
        <sz val="10"/>
        <rFont val="Malgun Gothic"/>
        <family val="0"/>
        <charset val="1"/>
      </rPr>
      <t xml:space="preserve">SN65HVD230 </t>
    </r>
    <r>
      <rPr>
        <sz val="10"/>
        <rFont val="Noto Sans CJK SC"/>
        <family val="2"/>
      </rPr>
      <t xml:space="preserve">모듈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예비</t>
    </r>
    <r>
      <rPr>
        <sz val="10"/>
        <rFont val="Malgun Gothic"/>
        <family val="0"/>
        <charset val="1"/>
      </rPr>
      <t xml:space="preserve">)</t>
    </r>
  </si>
  <si>
    <t xml:space="preserve">SEENGREAT [220493]</t>
  </si>
  <si>
    <t xml:space="preserve">손상 대비 예비</t>
  </si>
  <si>
    <t xml:space="preserve">O-16</t>
  </si>
  <si>
    <r>
      <rPr>
        <sz val="10"/>
        <rFont val="Noto Sans CJK SC"/>
        <family val="2"/>
      </rPr>
      <t xml:space="preserve">저항 </t>
    </r>
    <r>
      <rPr>
        <sz val="10"/>
        <rFont val="Malgun Gothic"/>
        <family val="0"/>
        <charset val="1"/>
      </rPr>
      <t xml:space="preserve">120Ω</t>
    </r>
  </si>
  <si>
    <t xml:space="preserve">1/4W</t>
  </si>
  <si>
    <r>
      <rPr>
        <sz val="10"/>
        <rFont val="Malgun Gothic"/>
        <family val="0"/>
        <charset val="1"/>
      </rPr>
      <t xml:space="preserve">CAN </t>
    </r>
    <r>
      <rPr>
        <sz val="10"/>
        <rFont val="Noto Sans CJK SC"/>
        <family val="2"/>
      </rPr>
      <t xml:space="preserve">종단 예비</t>
    </r>
  </si>
  <si>
    <r>
      <rPr>
        <sz val="10"/>
        <rFont val="Noto Sans CJK SC"/>
        <family val="2"/>
      </rPr>
      <t xml:space="preserve">현재는 모듈</t>
    </r>
    <r>
      <rPr>
        <sz val="10"/>
        <rFont val="Malgun Gothic"/>
        <family val="0"/>
        <charset val="1"/>
      </rPr>
      <t xml:space="preserve">, HAT </t>
    </r>
    <r>
      <rPr>
        <sz val="10"/>
        <rFont val="Noto Sans CJK SC"/>
        <family val="2"/>
      </rPr>
      <t xml:space="preserve">점퍼로 종단 중</t>
    </r>
  </si>
  <si>
    <t xml:space="preserve">O-17</t>
  </si>
  <si>
    <r>
      <rPr>
        <sz val="10"/>
        <rFont val="Malgun Gothic"/>
        <family val="0"/>
        <charset val="1"/>
      </rPr>
      <t xml:space="preserve">USB </t>
    </r>
    <r>
      <rPr>
        <sz val="10"/>
        <rFont val="Noto Sans CJK SC"/>
        <family val="2"/>
      </rPr>
      <t xml:space="preserve">아이솔레이터</t>
    </r>
  </si>
  <si>
    <r>
      <rPr>
        <sz val="10"/>
        <rFont val="Malgun Gothic"/>
        <family val="0"/>
        <charset val="1"/>
      </rPr>
      <t xml:space="preserve">PC</t>
    </r>
    <r>
      <rPr>
        <sz val="10"/>
        <rFont val="Noto Sans CJK SC"/>
        <family val="2"/>
      </rPr>
      <t xml:space="preserve">와의 접지 루프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노이즈 차단</t>
    </r>
  </si>
  <si>
    <t xml:space="preserve">측정값이 불안정하거나 접지 문제가 있을 때</t>
  </si>
  <si>
    <t xml:space="preserve">이미 구매한 부품</t>
  </si>
  <si>
    <r>
      <rPr>
        <i val="true"/>
        <sz val="10"/>
        <color rgb="FF595959"/>
        <rFont val="Noto Sans CJK SC"/>
        <family val="2"/>
      </rPr>
      <t xml:space="preserve">구매한 부품 목록입니다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확인할 점을 점검하세요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</si>
  <si>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t xml:space="preserve">부품</t>
  </si>
  <si>
    <t xml:space="preserve">상태</t>
  </si>
  <si>
    <t xml:space="preserve">확인할 점</t>
  </si>
  <si>
    <t xml:space="preserve">O-1</t>
  </si>
  <si>
    <r>
      <rPr>
        <sz val="10"/>
        <rFont val="Noto Sans CJK SC"/>
        <family val="2"/>
      </rPr>
      <t xml:space="preserve">라즈베리 파이 </t>
    </r>
    <r>
      <rPr>
        <sz val="10"/>
        <rFont val="Malgun Gothic"/>
        <family val="0"/>
        <charset val="1"/>
      </rPr>
      <t xml:space="preserve">4 Model B 8GB (</t>
    </r>
    <r>
      <rPr>
        <sz val="10"/>
        <rFont val="Noto Sans CJK SC"/>
        <family val="2"/>
      </rPr>
      <t xml:space="preserve">가이드북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방열판 포함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</si>
  <si>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마스터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대시보드</t>
    </r>
    <r>
      <rPr>
        <sz val="10"/>
        <rFont val="Malgun Gothic"/>
        <family val="0"/>
        <charset val="1"/>
      </rPr>
      <t xml:space="preserve">, CAN </t>
    </r>
    <r>
      <rPr>
        <sz val="10"/>
        <rFont val="Noto Sans CJK SC"/>
        <family val="2"/>
      </rPr>
      <t xml:space="preserve">수신</t>
    </r>
    <r>
      <rPr>
        <sz val="10"/>
        <rFont val="Malgun Gothic"/>
        <family val="0"/>
        <charset val="1"/>
      </rPr>
      <t xml:space="preserve">)</t>
    </r>
  </si>
  <si>
    <t xml:space="preserve">보유</t>
  </si>
  <si>
    <r>
      <rPr>
        <sz val="10"/>
        <rFont val="Noto Sans CJK SC"/>
        <family val="2"/>
      </rPr>
      <t xml:space="preserve">전원 어댑터</t>
    </r>
    <r>
      <rPr>
        <sz val="10"/>
        <rFont val="Malgun Gothic"/>
        <family val="0"/>
        <charset val="1"/>
      </rPr>
      <t xml:space="preserve">(5V/3A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별도로 있는지 확인</t>
    </r>
  </si>
  <si>
    <t xml:space="preserve">O-2</t>
  </si>
  <si>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채널 </t>
    </r>
    <r>
      <rPr>
        <sz val="10"/>
        <rFont val="Malgun Gothic"/>
        <family val="0"/>
        <charset val="1"/>
      </rPr>
      <t xml:space="preserve">CAN HAT (</t>
    </r>
    <r>
      <rPr>
        <sz val="10"/>
        <rFont val="Noto Sans CJK SC"/>
        <family val="2"/>
      </rPr>
      <t xml:space="preserve">모델명 미확인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</si>
  <si>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라즈베리 파이 </t>
    </r>
    <r>
      <rPr>
        <sz val="10"/>
        <rFont val="Malgun Gothic"/>
        <family val="0"/>
        <charset val="1"/>
      </rPr>
      <t xml:space="preserve">CAN </t>
    </r>
    <r>
      <rPr>
        <sz val="10"/>
        <rFont val="Noto Sans CJK SC"/>
        <family val="2"/>
      </rPr>
      <t xml:space="preserve">통신</t>
    </r>
  </si>
  <si>
    <r>
      <rPr>
        <sz val="10"/>
        <rFont val="Noto Sans CJK SC"/>
        <family val="2"/>
      </rPr>
      <t xml:space="preserve">모델명과 </t>
    </r>
    <r>
      <rPr>
        <sz val="10"/>
        <rFont val="Malgun Gothic"/>
        <family val="0"/>
        <charset val="1"/>
      </rPr>
      <t xml:space="preserve">VIO </t>
    </r>
    <r>
      <rPr>
        <sz val="10"/>
        <rFont val="Noto Sans CJK SC"/>
        <family val="2"/>
      </rPr>
      <t xml:space="preserve">점퍼</t>
    </r>
    <r>
      <rPr>
        <sz val="10"/>
        <rFont val="Malgun Gothic"/>
        <family val="0"/>
        <charset val="1"/>
      </rPr>
      <t xml:space="preserve">(3V3) </t>
    </r>
    <r>
      <rPr>
        <sz val="10"/>
        <rFont val="Noto Sans CJK SC"/>
        <family val="2"/>
      </rPr>
      <t xml:space="preserve">위치 확인</t>
    </r>
  </si>
  <si>
    <t xml:space="preserve">O-3</t>
  </si>
  <si>
    <t xml:space="preserve">NUCLEO-F103RB</t>
  </si>
  <si>
    <r>
      <rPr>
        <sz val="10"/>
        <rFont val="Noto Sans CJK SC"/>
        <family val="2"/>
      </rPr>
      <t xml:space="preserve">센서 노드 </t>
    </r>
    <r>
      <rPr>
        <sz val="10"/>
        <rFont val="Malgun Gothic"/>
        <family val="0"/>
        <charset val="1"/>
      </rPr>
      <t xml:space="preserve">(STM32)</t>
    </r>
  </si>
  <si>
    <t xml:space="preserve">O-4</t>
  </si>
  <si>
    <r>
      <rPr>
        <sz val="10"/>
        <rFont val="Malgun Gothic"/>
        <family val="0"/>
        <charset val="1"/>
      </rPr>
      <t xml:space="preserve">SN65HVD230 CAN </t>
    </r>
    <r>
      <rPr>
        <sz val="10"/>
        <rFont val="Noto Sans CJK SC"/>
        <family val="2"/>
      </rPr>
      <t xml:space="preserve">모듈 </t>
    </r>
    <r>
      <rPr>
        <sz val="10"/>
        <rFont val="Malgun Gothic"/>
        <family val="0"/>
        <charset val="1"/>
      </rPr>
      <t xml:space="preserve">(SEENGREAT [220493])</t>
    </r>
  </si>
  <si>
    <r>
      <rPr>
        <sz val="10"/>
        <rFont val="Malgun Gothic"/>
        <family val="0"/>
        <charset val="1"/>
      </rPr>
      <t xml:space="preserve">STM32 CAN </t>
    </r>
    <r>
      <rPr>
        <sz val="10"/>
        <rFont val="Noto Sans CJK SC"/>
        <family val="2"/>
      </rPr>
      <t xml:space="preserve">트랜시버</t>
    </r>
  </si>
  <si>
    <r>
      <rPr>
        <sz val="10"/>
        <rFont val="Malgun Gothic"/>
        <family val="0"/>
        <charset val="1"/>
      </rPr>
      <t xml:space="preserve">CAN </t>
    </r>
    <r>
      <rPr>
        <sz val="10"/>
        <rFont val="Noto Sans CJK SC"/>
        <family val="2"/>
      </rPr>
      <t xml:space="preserve">통신 연결 완료</t>
    </r>
  </si>
  <si>
    <t xml:space="preserve">O-5</t>
  </si>
  <si>
    <r>
      <rPr>
        <sz val="10"/>
        <rFont val="Noto Sans CJK SC"/>
        <family val="2"/>
      </rPr>
      <t xml:space="preserve">점퍼선 세트 </t>
    </r>
    <r>
      <rPr>
        <sz val="10"/>
        <rFont val="Malgun Gothic"/>
        <family val="0"/>
        <charset val="1"/>
      </rPr>
      <t xml:space="preserve">(M-M, M-F, F-F)</t>
    </r>
  </si>
  <si>
    <r>
      <rPr>
        <sz val="10"/>
        <rFont val="Noto Sans CJK SC"/>
        <family val="2"/>
      </rPr>
      <t xml:space="preserve">기판과 </t>
    </r>
    <r>
      <rPr>
        <sz val="10"/>
        <rFont val="Malgun Gothic"/>
        <family val="0"/>
        <charset val="1"/>
      </rPr>
      <t xml:space="preserve">NUCLEO, ACS712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</si>
  <si>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기판의 수 핀과 </t>
    </r>
    <r>
      <rPr>
        <sz val="10"/>
        <rFont val="Malgun Gothic"/>
        <family val="0"/>
        <charset val="1"/>
      </rPr>
      <t xml:space="preserve">NUCLEO </t>
    </r>
    <r>
      <rPr>
        <sz val="10"/>
        <rFont val="Noto Sans CJK SC"/>
        <family val="2"/>
      </rPr>
      <t xml:space="preserve">핀을 </t>
    </r>
    <r>
      <rPr>
        <sz val="10"/>
        <rFont val="Malgun Gothic"/>
        <family val="0"/>
        <charset val="1"/>
      </rPr>
      <t xml:space="preserve">F-F</t>
    </r>
    <r>
      <rPr>
        <sz val="10"/>
        <rFont val="Noto Sans CJK SC"/>
        <family val="2"/>
      </rPr>
      <t xml:space="preserve">로 연결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가닥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전원 </t>
    </r>
    <r>
      <rPr>
        <sz val="10"/>
        <rFont val="Malgun Gothic"/>
        <family val="0"/>
        <charset val="1"/>
      </rPr>
      <t xml:space="preserve">3 + </t>
    </r>
    <r>
      <rPr>
        <sz val="10"/>
        <rFont val="Noto Sans CJK SC"/>
        <family val="2"/>
      </rPr>
      <t xml:space="preserve">신호 </t>
    </r>
    <r>
      <rPr>
        <sz val="10"/>
        <rFont val="Malgun Gothic"/>
        <family val="0"/>
        <charset val="1"/>
      </rPr>
      <t xml:space="preserve">6 + ACS712 3) </t>
    </r>
    <r>
      <rPr>
        <sz val="10"/>
        <rFont val="Noto Sans CJK SC"/>
        <family val="2"/>
      </rPr>
      <t xml:space="preserve">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길이와 수량 확인</t>
    </r>
  </si>
  <si>
    <t xml:space="preserve">O-6</t>
  </si>
  <si>
    <r>
      <rPr>
        <sz val="10"/>
        <rFont val="Noto Sans CJK SC"/>
        <family val="2"/>
      </rPr>
      <t xml:space="preserve">임베디드 보드</t>
    </r>
    <r>
      <rPr>
        <sz val="10"/>
        <rFont val="Malgun Gothic"/>
        <family val="0"/>
        <charset val="1"/>
      </rPr>
      <t xml:space="preserve">(NUCLEO)</t>
    </r>
    <r>
      <rPr>
        <sz val="10"/>
        <rFont val="Noto Sans CJK SC"/>
        <family val="2"/>
      </rPr>
      <t xml:space="preserve">용 전원 어댑터</t>
    </r>
  </si>
  <si>
    <r>
      <rPr>
        <sz val="10"/>
        <rFont val="Malgun Gothic"/>
        <family val="0"/>
        <charset val="1"/>
      </rPr>
      <t xml:space="preserve">NUCLEO </t>
    </r>
    <r>
      <rPr>
        <sz val="10"/>
        <rFont val="Noto Sans CJK SC"/>
        <family val="2"/>
      </rPr>
      <t xml:space="preserve">전원</t>
    </r>
  </si>
  <si>
    <r>
      <rPr>
        <sz val="10"/>
        <rFont val="Noto Sans CJK SC"/>
        <family val="2"/>
      </rPr>
      <t xml:space="preserve">출력 전압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전류와 연결 방식</t>
    </r>
    <r>
      <rPr>
        <sz val="10"/>
        <rFont val="Malgun Gothic"/>
        <family val="0"/>
        <charset val="1"/>
      </rPr>
      <t xml:space="preserve">(USB, </t>
    </r>
    <r>
      <rPr>
        <sz val="10"/>
        <rFont val="Noto Sans CJK SC"/>
        <family val="2"/>
      </rPr>
      <t xml:space="preserve">외부 전원 핀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. 5V </t>
    </r>
    <r>
      <rPr>
        <sz val="10"/>
        <rFont val="Noto Sans CJK SC"/>
        <family val="2"/>
      </rPr>
      <t xml:space="preserve">핀에서 릴레이 코일 약 </t>
    </r>
    <r>
      <rPr>
        <sz val="10"/>
        <rFont val="Malgun Gothic"/>
        <family val="0"/>
        <charset val="1"/>
      </rPr>
      <t xml:space="preserve">70mA + ACS712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10mA</t>
    </r>
    <r>
      <rPr>
        <sz val="10"/>
        <rFont val="Noto Sans CJK SC"/>
        <family val="2"/>
      </rPr>
      <t xml:space="preserve">를 공급해야 함</t>
    </r>
  </si>
  <si>
    <r>
      <rPr>
        <b val="true"/>
        <sz val="14"/>
        <rFont val="Noto Sans CJK SC"/>
        <family val="2"/>
      </rPr>
      <t xml:space="preserve">기판 부품 배치표 </t>
    </r>
    <r>
      <rPr>
        <b val="true"/>
        <sz val="14"/>
        <rFont val="Malgun Gothic"/>
        <family val="0"/>
        <charset val="1"/>
      </rPr>
      <t xml:space="preserve">(9×15cm </t>
    </r>
    <r>
      <rPr>
        <b val="true"/>
        <sz val="14"/>
        <rFont val="Noto Sans CJK SC"/>
        <family val="2"/>
      </rPr>
      <t xml:space="preserve">만능기판</t>
    </r>
    <r>
      <rPr>
        <b val="true"/>
        <sz val="14"/>
        <rFont val="Malgun Gothic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세로 방향</t>
    </r>
    <r>
      <rPr>
        <b val="true"/>
        <sz val="14"/>
        <rFont val="Malgun Gothic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</si>
  <si>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열은 왼쪽에서 오른쪽</t>
    </r>
    <r>
      <rPr>
        <i val="true"/>
        <sz val="10"/>
        <color rgb="FF595959"/>
        <rFont val="Malgun Gothic"/>
        <family val="0"/>
        <charset val="1"/>
      </rPr>
      <t xml:space="preserve">(1~35), </t>
    </r>
    <r>
      <rPr>
        <i val="true"/>
        <sz val="10"/>
        <color rgb="FF595959"/>
        <rFont val="Noto Sans CJK SC"/>
        <family val="2"/>
      </rPr>
      <t xml:space="preserve">행은 위에서 아래</t>
    </r>
    <r>
      <rPr>
        <i val="true"/>
        <sz val="10"/>
        <color rgb="FF595959"/>
        <rFont val="Malgun Gothic"/>
        <family val="0"/>
        <charset val="1"/>
      </rPr>
      <t xml:space="preserve">(1~59)</t>
    </r>
    <r>
      <rPr>
        <i val="true"/>
        <sz val="10"/>
        <color rgb="FF595959"/>
        <rFont val="Noto Sans CJK SC"/>
        <family val="2"/>
      </rPr>
      <t xml:space="preserve">로 센 구멍 번호입니다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배치도 이미지의 눈금과 같습니다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핀 위치 열</t>
    </r>
    <r>
      <rPr>
        <i val="true"/>
        <sz val="10"/>
        <color rgb="FF595959"/>
        <rFont val="Malgun Gothic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행 구멍에 해당 부품</t>
    </r>
    <r>
      <rPr>
        <i val="true"/>
        <sz val="10"/>
        <color rgb="FF595959"/>
        <rFont val="Malgun Gothic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또는 소켓 핀</t>
    </r>
    <r>
      <rPr>
        <i val="true"/>
        <sz val="10"/>
        <color rgb="FF595959"/>
        <rFont val="Malgun Gothic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의 다리를 납땜하세요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</si>
  <si>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t xml:space="preserve">기호</t>
  </si>
  <si>
    <t xml:space="preserve">설치 방식</t>
  </si>
  <si>
    <t xml:space="preserve">설명</t>
  </si>
  <si>
    <t xml:space="preserve">값</t>
  </si>
  <si>
    <t xml:space="preserve">핀 위치</t>
  </si>
  <si>
    <t xml:space="preserve">네트</t>
  </si>
  <si>
    <t xml:space="preserve">H_PWR</t>
  </si>
  <si>
    <t xml:space="preserve">수 핀헤더 납땜</t>
  </si>
  <si>
    <r>
      <rPr>
        <sz val="10"/>
        <rFont val="Noto Sans CJK SC"/>
        <family val="2"/>
      </rPr>
      <t xml:space="preserve">전원 입력 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 핀헤더 </t>
    </r>
    <r>
      <rPr>
        <sz val="10"/>
        <rFont val="Malgun Gothic"/>
        <family val="0"/>
        <charset val="1"/>
      </rPr>
      <t xml:space="preserve">1x4)</t>
    </r>
  </si>
  <si>
    <t xml:space="preserve">3V3 / 5V / GND / GND</t>
  </si>
  <si>
    <r>
      <rPr>
        <sz val="10"/>
        <rFont val="Malgun Gothic"/>
        <family val="0"/>
        <charset val="1"/>
      </rPr>
      <t xml:space="preserve">3V3: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 / 5V: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 / GND1: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 / GND2: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5</t>
    </r>
  </si>
  <si>
    <t xml:space="preserve">3V3=3V3 / 5V=5V / GND1=GND / GND2=GND</t>
  </si>
  <si>
    <t xml:space="preserve">C_BULK</t>
  </si>
  <si>
    <t xml:space="preserve">직접 납땜</t>
  </si>
  <si>
    <r>
      <rPr>
        <sz val="10"/>
        <rFont val="Noto Sans CJK SC"/>
        <family val="2"/>
      </rPr>
      <t xml:space="preserve">전해 커패시터 </t>
    </r>
    <r>
      <rPr>
        <sz val="10"/>
        <rFont val="Malgun Gothic"/>
        <family val="0"/>
        <charset val="1"/>
      </rPr>
      <t xml:space="preserve">(5V </t>
    </r>
    <r>
      <rPr>
        <sz val="10"/>
        <rFont val="Noto Sans CJK SC"/>
        <family val="2"/>
      </rPr>
      <t xml:space="preserve">안정화</t>
    </r>
    <r>
      <rPr>
        <sz val="10"/>
        <rFont val="Malgun Gothic"/>
        <family val="0"/>
        <charset val="1"/>
      </rPr>
      <t xml:space="preserve">)</t>
    </r>
  </si>
  <si>
    <t xml:space="preserve">100µF 25V</t>
  </si>
  <si>
    <r>
      <rPr>
        <sz val="10"/>
        <rFont val="Malgun Gothic"/>
        <family val="0"/>
        <charset val="1"/>
      </rPr>
      <t xml:space="preserve">+: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 / −: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</t>
    </r>
  </si>
  <si>
    <t xml:space="preserve">+=5V / −=GND</t>
  </si>
  <si>
    <t xml:space="preserve">J_N1</t>
  </si>
  <si>
    <t xml:space="preserve">스크류 터미널 납땜</t>
  </si>
  <si>
    <r>
      <rPr>
        <sz val="10"/>
        <rFont val="Noto Sans CJK SC"/>
        <family val="2"/>
      </rPr>
      <t xml:space="preserve">스크류 터미널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퓨즈 출력 </t>
    </r>
    <r>
      <rPr>
        <sz val="10"/>
        <rFont val="Malgun Gothic"/>
        <family val="0"/>
        <charset val="1"/>
      </rPr>
      <t xml:space="preserve">N1 / </t>
    </r>
    <r>
      <rPr>
        <sz val="10"/>
        <rFont val="Noto Sans CJK SC"/>
        <family val="2"/>
      </rPr>
      <t xml:space="preserve">전원 −</t>
    </r>
    <r>
      <rPr>
        <sz val="10"/>
        <rFont val="Malgun Gothic"/>
        <family val="0"/>
        <charset val="1"/>
      </rPr>
      <t xml:space="preserve">)</t>
    </r>
  </si>
  <si>
    <t xml:space="preserve">5.08mm</t>
  </si>
  <si>
    <r>
      <rPr>
        <sz val="10"/>
        <rFont val="Malgun Gothic"/>
        <family val="0"/>
        <charset val="1"/>
      </rPr>
      <t xml:space="preserve">N1: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GND: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12</t>
    </r>
  </si>
  <si>
    <t xml:space="preserve">N1=N1 / GND=GND</t>
  </si>
  <si>
    <t xml:space="preserve">R1</t>
  </si>
  <si>
    <r>
      <rPr>
        <sz val="10"/>
        <rFont val="Noto Sans CJK SC"/>
        <family val="2"/>
      </rPr>
      <t xml:space="preserve">소켓에 꽂기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암 핀헤더 납땜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</si>
  <si>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분압 저항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</t>
    </r>
    <r>
      <rPr>
        <sz val="10"/>
        <rFont val="Malgun Gothic"/>
        <family val="0"/>
        <charset val="1"/>
      </rPr>
      <t xml:space="preserve">)</t>
    </r>
  </si>
  <si>
    <t xml:space="preserve">68kΩ 1%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</si>
  <si>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</t>
    </r>
  </si>
  <si>
    <t xml:space="preserve">a=N1 / b=ADC_V</t>
  </si>
  <si>
    <t xml:space="preserve">R2</t>
  </si>
  <si>
    <t xml:space="preserve">10kΩ 1%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</si>
  <si>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11</t>
    </r>
  </si>
  <si>
    <t xml:space="preserve">a=ADC_V / b=GND</t>
  </si>
  <si>
    <t xml:space="preserve">C1</t>
  </si>
  <si>
    <t xml:space="preserve">세라믹 커패시터</t>
  </si>
  <si>
    <t xml:space="preserve">100nF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</si>
  <si>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12</t>
    </r>
  </si>
  <si>
    <t xml:space="preserve">D2</t>
  </si>
  <si>
    <r>
      <rPr>
        <sz val="10"/>
        <rFont val="Noto Sans CJK SC"/>
        <family val="2"/>
      </rPr>
      <t xml:space="preserve">쇼트키 클램프 </t>
    </r>
    <r>
      <rPr>
        <sz val="10"/>
        <rFont val="Malgun Gothic"/>
        <family val="0"/>
        <charset val="1"/>
      </rPr>
      <t xml:space="preserve">(BAT85) </t>
    </r>
    <r>
      <rPr>
        <sz val="10"/>
        <rFont val="Noto Sans CJK SC"/>
        <family val="2"/>
      </rPr>
      <t xml:space="preserve">상단</t>
    </r>
  </si>
  <si>
    <t xml:space="preserve">BAT85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</si>
  <si>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9</t>
    </r>
  </si>
  <si>
    <t xml:space="preserve">A=ADC_V / K=3V3</t>
  </si>
  <si>
    <r>
      <rPr>
        <sz val="10"/>
        <rFont val="Noto Sans CJK SC"/>
        <family val="2"/>
      </rPr>
      <t xml:space="preserve">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캐소드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위쪽</t>
    </r>
    <r>
      <rPr>
        <sz val="10"/>
        <rFont val="Malgun Gothic"/>
        <family val="0"/>
        <charset val="1"/>
      </rPr>
      <t xml:space="preserve">(3V3 </t>
    </r>
    <r>
      <rPr>
        <sz val="10"/>
        <rFont val="Noto Sans CJK SC"/>
        <family val="2"/>
      </rPr>
      <t xml:space="preserve">쪽</t>
    </r>
    <r>
      <rPr>
        <sz val="10"/>
        <rFont val="Malgun Gothic"/>
        <family val="0"/>
        <charset val="1"/>
      </rPr>
      <t xml:space="preserve">)</t>
    </r>
  </si>
  <si>
    <t xml:space="preserve">D3</t>
  </si>
  <si>
    <r>
      <rPr>
        <sz val="10"/>
        <rFont val="Noto Sans CJK SC"/>
        <family val="2"/>
      </rPr>
      <t xml:space="preserve">쇼트키 클램프 </t>
    </r>
    <r>
      <rPr>
        <sz val="10"/>
        <rFont val="Malgun Gothic"/>
        <family val="0"/>
        <charset val="1"/>
      </rPr>
      <t xml:space="preserve">(BAT85) </t>
    </r>
    <r>
      <rPr>
        <sz val="10"/>
        <rFont val="Noto Sans CJK SC"/>
        <family val="2"/>
      </rPr>
      <t xml:space="preserve">하단</t>
    </r>
  </si>
  <si>
    <r>
      <rPr>
        <sz val="10"/>
        <rFont val="Malgun Gothic"/>
        <family val="0"/>
        <charset val="1"/>
      </rPr>
      <t xml:space="preserve">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/ 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11</t>
    </r>
  </si>
  <si>
    <t xml:space="preserve">K=ADC_V / A=GND</t>
  </si>
  <si>
    <r>
      <rPr>
        <sz val="10"/>
        <rFont val="Noto Sans CJK SC"/>
        <family val="2"/>
      </rPr>
      <t xml:space="preserve">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캐소드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위쪽</t>
    </r>
    <r>
      <rPr>
        <sz val="10"/>
        <rFont val="Malgun Gothic"/>
        <family val="0"/>
        <charset val="1"/>
      </rPr>
      <t xml:space="preserve">(ADC </t>
    </r>
    <r>
      <rPr>
        <sz val="10"/>
        <rFont val="Noto Sans CJK SC"/>
        <family val="2"/>
      </rPr>
      <t xml:space="preserve">쪽</t>
    </r>
    <r>
      <rPr>
        <sz val="10"/>
        <rFont val="Malgun Gothic"/>
        <family val="0"/>
        <charset val="1"/>
      </rPr>
      <t xml:space="preserve">)</t>
    </r>
  </si>
  <si>
    <t xml:space="preserve">PA0</t>
  </si>
  <si>
    <r>
      <rPr>
        <sz val="10"/>
        <rFont val="Noto Sans CJK SC"/>
        <family val="2"/>
      </rPr>
      <t xml:space="preserve">출력 핀 → </t>
    </r>
    <r>
      <rPr>
        <sz val="10"/>
        <rFont val="Malgun Gothic"/>
        <family val="0"/>
        <charset val="1"/>
      </rPr>
      <t xml:space="preserve">NUCLEO PA0</t>
    </r>
  </si>
  <si>
    <r>
      <rPr>
        <sz val="10"/>
        <rFont val="Noto Sans CJK SC"/>
        <family val="2"/>
      </rPr>
      <t xml:space="preserve">수 핀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</si>
  <si>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Malgun Gothic"/>
        <family val="0"/>
        <charset val="1"/>
      </rPr>
      <t xml:space="preserve">PA0: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</t>
    </r>
  </si>
  <si>
    <t xml:space="preserve">PA0=ADC_V</t>
  </si>
  <si>
    <t xml:space="preserve">J_ACS</t>
  </si>
  <si>
    <r>
      <rPr>
        <sz val="10"/>
        <rFont val="Malgun Gothic"/>
        <family val="0"/>
        <charset val="1"/>
      </rPr>
      <t xml:space="preserve">ACS712 </t>
    </r>
    <r>
      <rPr>
        <sz val="10"/>
        <rFont val="Noto Sans CJK SC"/>
        <family val="2"/>
      </rPr>
      <t xml:space="preserve">연결 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 핀헤더 </t>
    </r>
    <r>
      <rPr>
        <sz val="10"/>
        <rFont val="Malgun Gothic"/>
        <family val="0"/>
        <charset val="1"/>
      </rPr>
      <t xml:space="preserve">1x3)</t>
    </r>
  </si>
  <si>
    <t xml:space="preserve">VCC / OUT / GND</t>
  </si>
  <si>
    <r>
      <rPr>
        <sz val="10"/>
        <rFont val="Malgun Gothic"/>
        <family val="0"/>
        <charset val="1"/>
      </rPr>
      <t xml:space="preserve">VCC: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 / OUT: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GND: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</t>
    </r>
  </si>
  <si>
    <t xml:space="preserve">VCC=5V / OUT=ACS_OUT / GND=GND</t>
  </si>
  <si>
    <t xml:space="preserve">모듈 핀 순서를 확인하고 필요하면 바꿔 연결</t>
  </si>
  <si>
    <t xml:space="preserve">R3</t>
  </si>
  <si>
    <r>
      <rPr>
        <sz val="10"/>
        <rFont val="Noto Sans CJK SC"/>
        <family val="2"/>
      </rPr>
      <t xml:space="preserve">전류 분압 저항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</si>
  <si>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</t>
    </r>
  </si>
  <si>
    <t xml:space="preserve">a=ACS_OUT / b=ADC_I</t>
  </si>
  <si>
    <t xml:space="preserve">R4</t>
  </si>
  <si>
    <t xml:space="preserve">20kΩ 1%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</si>
  <si>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</t>
    </r>
  </si>
  <si>
    <t xml:space="preserve">a=ADC_I / b=GND</t>
  </si>
  <si>
    <t xml:space="preserve">C2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</si>
  <si>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20</t>
    </r>
  </si>
  <si>
    <t xml:space="preserve">D4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</si>
  <si>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</t>
    </r>
  </si>
  <si>
    <t xml:space="preserve">A=ADC_I / K=3V3</t>
  </si>
  <si>
    <t xml:space="preserve">띠가 위쪽</t>
  </si>
  <si>
    <t xml:space="preserve">D5</t>
  </si>
  <si>
    <r>
      <rPr>
        <sz val="10"/>
        <rFont val="Malgun Gothic"/>
        <family val="0"/>
        <charset val="1"/>
      </rPr>
      <t xml:space="preserve">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/ 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</t>
    </r>
  </si>
  <si>
    <t xml:space="preserve">K=ADC_I / A=GND</t>
  </si>
  <si>
    <t xml:space="preserve">PA1</t>
  </si>
  <si>
    <r>
      <rPr>
        <sz val="10"/>
        <rFont val="Noto Sans CJK SC"/>
        <family val="2"/>
      </rPr>
      <t xml:space="preserve">출력 핀 → </t>
    </r>
    <r>
      <rPr>
        <sz val="10"/>
        <rFont val="Malgun Gothic"/>
        <family val="0"/>
        <charset val="1"/>
      </rPr>
      <t xml:space="preserve">NUCLEO PA1</t>
    </r>
  </si>
  <si>
    <r>
      <rPr>
        <sz val="10"/>
        <rFont val="Malgun Gothic"/>
        <family val="0"/>
        <charset val="1"/>
      </rPr>
      <t xml:space="preserve">PA1: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</t>
    </r>
  </si>
  <si>
    <t xml:space="preserve">PA1=ADC_I</t>
  </si>
  <si>
    <t xml:space="preserve">RREF</t>
  </si>
  <si>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기준 저항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</si>
  <si>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</t>
    </r>
  </si>
  <si>
    <t xml:space="preserve">a=3V3 / b=ADC_T</t>
  </si>
  <si>
    <t xml:space="preserve">J_NTC</t>
  </si>
  <si>
    <r>
      <rPr>
        <sz val="10"/>
        <rFont val="Noto Sans CJK SC"/>
        <family val="2"/>
      </rPr>
      <t xml:space="preserve">스크류 터미널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(NTC </t>
    </r>
    <r>
      <rPr>
        <sz val="10"/>
        <rFont val="Noto Sans CJK SC"/>
        <family val="2"/>
      </rPr>
      <t xml:space="preserve">프로브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</si>
  <si>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NTC+: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 / NTC−: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29</t>
    </r>
  </si>
  <si>
    <t xml:space="preserve">NTC+=ADC_T / NTC−=GND</t>
  </si>
  <si>
    <t xml:space="preserve">극성 없음</t>
  </si>
  <si>
    <t xml:space="preserve">C3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</si>
  <si>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28</t>
    </r>
  </si>
  <si>
    <t xml:space="preserve">a=ADC_T / b=GND</t>
  </si>
  <si>
    <t xml:space="preserve">D6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</si>
  <si>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/ 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25</t>
    </r>
  </si>
  <si>
    <t xml:space="preserve">A=ADC_T / K=3V3</t>
  </si>
  <si>
    <t xml:space="preserve">D7</t>
  </si>
  <si>
    <r>
      <rPr>
        <sz val="10"/>
        <rFont val="Malgun Gothic"/>
        <family val="0"/>
        <charset val="1"/>
      </rPr>
      <t xml:space="preserve">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/ 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</t>
    </r>
  </si>
  <si>
    <t xml:space="preserve">K=ADC_T / A=GND</t>
  </si>
  <si>
    <t xml:space="preserve">PA4</t>
  </si>
  <si>
    <r>
      <rPr>
        <sz val="10"/>
        <rFont val="Noto Sans CJK SC"/>
        <family val="2"/>
      </rPr>
      <t xml:space="preserve">출력 핀 → </t>
    </r>
    <r>
      <rPr>
        <sz val="10"/>
        <rFont val="Malgun Gothic"/>
        <family val="0"/>
        <charset val="1"/>
      </rPr>
      <t xml:space="preserve">NUCLEO PA4</t>
    </r>
  </si>
  <si>
    <r>
      <rPr>
        <sz val="10"/>
        <rFont val="Malgun Gothic"/>
        <family val="0"/>
        <charset val="1"/>
      </rPr>
      <t xml:space="preserve">PA4: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</t>
    </r>
  </si>
  <si>
    <t xml:space="preserve">PA4=ADC_T</t>
  </si>
  <si>
    <t xml:space="preserve">J_ES</t>
  </si>
  <si>
    <r>
      <rPr>
        <sz val="10"/>
        <rFont val="Noto Sans CJK SC"/>
        <family val="2"/>
      </rPr>
      <t xml:space="preserve">스크류 터미널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비상 정지 스위치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</si>
  <si>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5V</t>
    </r>
    <r>
      <rPr>
        <sz val="10"/>
        <rFont val="Noto Sans CJK SC"/>
        <family val="2"/>
      </rPr>
      <t xml:space="preserve">쪽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 / </t>
    </r>
    <r>
      <rPr>
        <sz val="10"/>
        <rFont val="Noto Sans CJK SC"/>
        <family val="2"/>
      </rPr>
      <t xml:space="preserve">코일쪽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</t>
    </r>
  </si>
  <si>
    <r>
      <rPr>
        <sz val="10"/>
        <rFont val="Malgun Gothic"/>
        <family val="0"/>
        <charset val="1"/>
      </rPr>
      <t xml:space="preserve">5V</t>
    </r>
    <r>
      <rPr>
        <sz val="10"/>
        <rFont val="Noto Sans CJK SC"/>
        <family val="2"/>
      </rPr>
      <t xml:space="preserve">쪽</t>
    </r>
    <r>
      <rPr>
        <sz val="10"/>
        <rFont val="Malgun Gothic"/>
        <family val="0"/>
        <charset val="1"/>
      </rPr>
      <t xml:space="preserve">=5V / </t>
    </r>
    <r>
      <rPr>
        <sz val="10"/>
        <rFont val="Noto Sans CJK SC"/>
        <family val="2"/>
      </rPr>
      <t xml:space="preserve">코일쪽</t>
    </r>
    <r>
      <rPr>
        <sz val="10"/>
        <rFont val="Malgun Gothic"/>
        <family val="0"/>
        <charset val="1"/>
      </rPr>
      <t xml:space="preserve">=COIL_P</t>
    </r>
  </si>
  <si>
    <r>
      <rPr>
        <sz val="10"/>
        <rFont val="Malgun Gothic"/>
        <family val="0"/>
        <charset val="1"/>
      </rPr>
      <t xml:space="preserve">NC </t>
    </r>
    <r>
      <rPr>
        <sz val="10"/>
        <rFont val="Noto Sans CJK SC"/>
        <family val="2"/>
      </rPr>
      <t xml:space="preserve">스위치를 이 두 단자에 직렬로</t>
    </r>
  </si>
  <si>
    <t xml:space="preserve">J_COIL</t>
  </si>
  <si>
    <r>
      <rPr>
        <sz val="10"/>
        <rFont val="Noto Sans CJK SC"/>
        <family val="2"/>
      </rPr>
      <t xml:space="preserve">스크류 터미널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릴레이 코일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</si>
  <si>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코일</t>
    </r>
    <r>
      <rPr>
        <sz val="10"/>
        <rFont val="Malgun Gothic"/>
        <family val="0"/>
        <charset val="1"/>
      </rPr>
      <t xml:space="preserve">+: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9·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/ </t>
    </r>
    <r>
      <rPr>
        <sz val="10"/>
        <rFont val="Noto Sans CJK SC"/>
        <family val="2"/>
      </rPr>
      <t xml:space="preserve">코일−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9·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38</t>
    </r>
  </si>
  <si>
    <r>
      <rPr>
        <sz val="10"/>
        <rFont val="Noto Sans CJK SC"/>
        <family val="2"/>
      </rPr>
      <t xml:space="preserve">코일</t>
    </r>
    <r>
      <rPr>
        <sz val="10"/>
        <rFont val="Malgun Gothic"/>
        <family val="0"/>
        <charset val="1"/>
      </rPr>
      <t xml:space="preserve">+=COIL_P / </t>
    </r>
    <r>
      <rPr>
        <sz val="10"/>
        <rFont val="Noto Sans CJK SC"/>
        <family val="2"/>
      </rPr>
      <t xml:space="preserve">코일−</t>
    </r>
    <r>
      <rPr>
        <sz val="10"/>
        <rFont val="Malgun Gothic"/>
        <family val="0"/>
        <charset val="1"/>
      </rPr>
      <t xml:space="preserve">=COIL_N</t>
    </r>
  </si>
  <si>
    <r>
      <rPr>
        <sz val="10"/>
        <rFont val="Noto Sans CJK SC"/>
        <family val="2"/>
      </rPr>
      <t xml:space="preserve">릴레이 코일 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</si>
  <si>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t xml:space="preserve">D1</t>
  </si>
  <si>
    <t xml:space="preserve">플라이백 다이오드</t>
  </si>
  <si>
    <r>
      <rPr>
        <sz val="10"/>
        <rFont val="Malgun Gothic"/>
        <family val="0"/>
        <charset val="1"/>
      </rPr>
      <t xml:space="preserve">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/ 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37</t>
    </r>
  </si>
  <si>
    <t xml:space="preserve">K=COIL_P / A=COIL_N</t>
  </si>
  <si>
    <r>
      <rPr>
        <sz val="10"/>
        <rFont val="Noto Sans CJK SC"/>
        <family val="2"/>
      </rPr>
      <t xml:space="preserve">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캐소드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위쪽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코일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쪽</t>
    </r>
  </si>
  <si>
    <t xml:space="preserve">Q1</t>
  </si>
  <si>
    <r>
      <rPr>
        <sz val="10"/>
        <rFont val="Malgun Gothic"/>
        <family val="0"/>
        <charset val="1"/>
      </rPr>
      <t xml:space="preserve">NPN </t>
    </r>
    <r>
      <rPr>
        <sz val="10"/>
        <rFont val="Noto Sans CJK SC"/>
        <family val="2"/>
      </rPr>
      <t xml:space="preserve">트랜지스터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 </t>
    </r>
    <r>
      <rPr>
        <sz val="10"/>
        <rFont val="Malgun Gothic"/>
        <family val="0"/>
        <charset val="1"/>
      </rPr>
      <t xml:space="preserve">1x3)</t>
    </r>
  </si>
  <si>
    <t xml:space="preserve">2N2222A</t>
  </si>
  <si>
    <r>
      <rPr>
        <sz val="10"/>
        <rFont val="Malgun Gothic"/>
        <family val="0"/>
        <charset val="1"/>
      </rPr>
      <t xml:space="preserve">C: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/ E: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</t>
    </r>
  </si>
  <si>
    <t xml:space="preserve">C=COIL_N / B=BASE / E=GND</t>
  </si>
  <si>
    <r>
      <rPr>
        <sz val="10"/>
        <rFont val="Noto Sans CJK SC"/>
        <family val="2"/>
      </rPr>
      <t xml:space="preserve">소켓 위→아래 </t>
    </r>
    <r>
      <rPr>
        <sz val="10"/>
        <rFont val="Malgun Gothic"/>
        <family val="0"/>
        <charset val="1"/>
      </rPr>
      <t xml:space="preserve">= C, B, E. PN2222A(E-B-C)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180° </t>
    </r>
    <r>
      <rPr>
        <sz val="10"/>
        <rFont val="Noto Sans CJK SC"/>
        <family val="2"/>
      </rPr>
      <t xml:space="preserve">돌려 꽂기</t>
    </r>
  </si>
  <si>
    <t xml:space="preserve">RB</t>
  </si>
  <si>
    <r>
      <rPr>
        <sz val="10"/>
        <rFont val="Noto Sans CJK SC"/>
        <family val="2"/>
      </rPr>
      <t xml:space="preserve">베이스 저항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</t>
    </r>
    <r>
      <rPr>
        <sz val="10"/>
        <rFont val="Malgun Gothic"/>
        <family val="0"/>
        <charset val="1"/>
      </rPr>
      <t xml:space="preserve">)</t>
    </r>
  </si>
  <si>
    <t xml:space="preserve">470Ω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</si>
  <si>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</t>
    </r>
  </si>
  <si>
    <t xml:space="preserve">a=BASE / b=RELAY</t>
  </si>
  <si>
    <t xml:space="preserve">RPD</t>
  </si>
  <si>
    <r>
      <rPr>
        <sz val="10"/>
        <rFont val="Noto Sans CJK SC"/>
        <family val="2"/>
      </rPr>
      <t xml:space="preserve">풀다운 저항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소켓</t>
    </r>
    <r>
      <rPr>
        <sz val="10"/>
        <rFont val="Malgun Gothic"/>
        <family val="0"/>
        <charset val="1"/>
      </rPr>
      <t xml:space="preserve">)</t>
    </r>
  </si>
  <si>
    <t xml:space="preserve">10kΩ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</si>
  <si>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</t>
    </r>
  </si>
  <si>
    <t xml:space="preserve">a=BASE / b=GND</t>
  </si>
  <si>
    <t xml:space="preserve">PC0</t>
  </si>
  <si>
    <r>
      <rPr>
        <sz val="10"/>
        <rFont val="Noto Sans CJK SC"/>
        <family val="2"/>
      </rPr>
      <t xml:space="preserve">출력 핀 ← </t>
    </r>
    <r>
      <rPr>
        <sz val="10"/>
        <rFont val="Malgun Gothic"/>
        <family val="0"/>
        <charset val="1"/>
      </rPr>
      <t xml:space="preserve">NUCLEO PC0</t>
    </r>
  </si>
  <si>
    <r>
      <rPr>
        <sz val="10"/>
        <rFont val="Malgun Gothic"/>
        <family val="0"/>
        <charset val="1"/>
      </rPr>
      <t xml:space="preserve">PC0: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</t>
    </r>
  </si>
  <si>
    <t xml:space="preserve">PC0=RELAY</t>
  </si>
  <si>
    <t xml:space="preserve">RLED_R</t>
  </si>
  <si>
    <r>
      <rPr>
        <sz val="10"/>
        <rFont val="Malgun Gothic"/>
        <family val="0"/>
        <charset val="1"/>
      </rPr>
      <t xml:space="preserve">LED </t>
    </r>
    <r>
      <rPr>
        <sz val="10"/>
        <rFont val="Noto Sans CJK SC"/>
        <family val="2"/>
      </rPr>
      <t xml:space="preserve">저항</t>
    </r>
  </si>
  <si>
    <t xml:space="preserve">330Ω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</si>
  <si>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</t>
    </r>
  </si>
  <si>
    <t xml:space="preserve">a=LEDR_A / b=PB1</t>
  </si>
  <si>
    <t xml:space="preserve">LED_R</t>
  </si>
  <si>
    <r>
      <rPr>
        <sz val="10"/>
        <rFont val="Noto Sans CJK SC"/>
        <family val="2"/>
      </rPr>
      <t xml:space="preserve">빨간 </t>
    </r>
    <r>
      <rPr>
        <sz val="10"/>
        <rFont val="Malgun Gothic"/>
        <family val="0"/>
        <charset val="1"/>
      </rPr>
      <t xml:space="preserve">LED</t>
    </r>
  </si>
  <si>
    <t xml:space="preserve">5mm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</si>
  <si>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/ 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44</t>
    </r>
  </si>
  <si>
    <t xml:space="preserve">A=LEDR_A / K=GND</t>
  </si>
  <si>
    <r>
      <rPr>
        <sz val="10"/>
        <rFont val="Noto Sans CJK SC"/>
        <family val="2"/>
      </rPr>
      <t xml:space="preserve">긴 다리가 </t>
    </r>
    <r>
      <rPr>
        <sz val="10"/>
        <rFont val="Malgun Gothic"/>
        <family val="0"/>
        <charset val="1"/>
      </rPr>
      <t xml:space="preserve">A(</t>
    </r>
    <r>
      <rPr>
        <sz val="10"/>
        <rFont val="Noto Sans CJK SC"/>
        <family val="2"/>
      </rPr>
      <t xml:space="preserve">위</t>
    </r>
    <r>
      <rPr>
        <sz val="10"/>
        <rFont val="Malgun Gothic"/>
        <family val="0"/>
        <charset val="1"/>
      </rPr>
      <t xml:space="preserve">)</t>
    </r>
  </si>
  <si>
    <t xml:space="preserve">PB1</t>
  </si>
  <si>
    <r>
      <rPr>
        <sz val="10"/>
        <rFont val="Noto Sans CJK SC"/>
        <family val="2"/>
      </rPr>
      <t xml:space="preserve">입력 핀 ← </t>
    </r>
    <r>
      <rPr>
        <sz val="10"/>
        <rFont val="Malgun Gothic"/>
        <family val="0"/>
        <charset val="1"/>
      </rPr>
      <t xml:space="preserve">NUCLEO PB1</t>
    </r>
  </si>
  <si>
    <r>
      <rPr>
        <sz val="10"/>
        <rFont val="Malgun Gothic"/>
        <family val="0"/>
        <charset val="1"/>
      </rPr>
      <t xml:space="preserve">PB1: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</t>
    </r>
  </si>
  <si>
    <t xml:space="preserve">PB1=PB1</t>
  </si>
  <si>
    <t xml:space="preserve">RLED_G</t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</si>
  <si>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/ b: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</t>
    </r>
  </si>
  <si>
    <t xml:space="preserve">a=LEDG_A / b=PB0</t>
  </si>
  <si>
    <t xml:space="preserve">LED_G</t>
  </si>
  <si>
    <r>
      <rPr>
        <sz val="10"/>
        <rFont val="Noto Sans CJK SC"/>
        <family val="2"/>
      </rPr>
      <t xml:space="preserve">녹색 </t>
    </r>
    <r>
      <rPr>
        <sz val="10"/>
        <rFont val="Malgun Gothic"/>
        <family val="0"/>
        <charset val="1"/>
      </rPr>
      <t xml:space="preserve">LED</t>
    </r>
  </si>
  <si>
    <r>
      <rPr>
        <sz val="10"/>
        <rFont val="Malgun Gothic"/>
        <family val="0"/>
        <charset val="1"/>
      </rPr>
      <t xml:space="preserve">A: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/ K: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46</t>
    </r>
  </si>
  <si>
    <t xml:space="preserve">A=LEDG_A / K=GND</t>
  </si>
  <si>
    <t xml:space="preserve">PB0</t>
  </si>
  <si>
    <r>
      <rPr>
        <sz val="10"/>
        <rFont val="Noto Sans CJK SC"/>
        <family val="2"/>
      </rPr>
      <t xml:space="preserve">입력 핀 ← </t>
    </r>
    <r>
      <rPr>
        <sz val="10"/>
        <rFont val="Malgun Gothic"/>
        <family val="0"/>
        <charset val="1"/>
      </rPr>
      <t xml:space="preserve">NUCLEO PB0</t>
    </r>
  </si>
  <si>
    <r>
      <rPr>
        <sz val="10"/>
        <rFont val="Malgun Gothic"/>
        <family val="0"/>
        <charset val="1"/>
      </rPr>
      <t xml:space="preserve">PB0: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</t>
    </r>
  </si>
  <si>
    <t xml:space="preserve">PB0=PB0</t>
  </si>
  <si>
    <r>
      <rPr>
        <b val="true"/>
        <sz val="14"/>
        <rFont val="Noto Sans CJK SC"/>
        <family val="2"/>
      </rPr>
      <t xml:space="preserve">기판 배선표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납땜면</t>
    </r>
    <r>
      <rPr>
        <b val="true"/>
        <sz val="14"/>
        <rFont val="Malgun Gothic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</si>
  <si>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맨선은 해당 행</t>
    </r>
    <r>
      <rPr>
        <i val="true"/>
        <sz val="10"/>
        <color rgb="FF595959"/>
        <rFont val="Malgun Gothic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열을 따라 놓고 지나는 핀 구멍마다 납땜합니다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절연 전선은 양 끝 구멍만 납땜하고</t>
    </r>
    <r>
      <rPr>
        <i val="true"/>
        <sz val="10"/>
        <color rgb="FF595959"/>
        <rFont val="Malgun Gothic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중간에서 다른 선과 교차해도 됩니다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맨선 구간에는 다른 전선이 닿지 않게 하세요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</si>
  <si>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t xml:space="preserve">종류</t>
  </si>
  <si>
    <t xml:space="preserve">시작</t>
  </si>
  <si>
    <t xml:space="preserve">끝</t>
  </si>
  <si>
    <r>
      <rPr>
        <b val="true"/>
        <sz val="10"/>
        <color rgb="FFFFFFFF"/>
        <rFont val="Noto Sans CJK SC"/>
        <family val="2"/>
      </rPr>
      <t xml:space="preserve">경유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꺾이는 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</si>
  <si>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3V3</t>
  </si>
  <si>
    <r>
      <rPr>
        <sz val="10"/>
        <rFont val="Noto Sans CJK SC"/>
        <family val="2"/>
      </rPr>
      <t xml:space="preserve">맨선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주석도금 단선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</si>
  <si>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 (H_PWR.3V3)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</si>
  <si>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</si>
  <si>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상단 줄</t>
    </r>
  </si>
  <si>
    <t xml:space="preserve">절연 전선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</si>
  <si>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8</t>
    </r>
  </si>
  <si>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세로 버스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</si>
  <si>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16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</si>
  <si>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24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</si>
  <si>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8</t>
    </r>
  </si>
  <si>
    <r>
      <rPr>
        <sz val="10"/>
        <rFont val="Noto Sans CJK SC"/>
        <family val="2"/>
      </rPr>
      <t xml:space="preserve">전압 센싱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</si>
  <si>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16</t>
    </r>
  </si>
  <si>
    <r>
      <rPr>
        <sz val="10"/>
        <rFont val="Noto Sans CJK SC"/>
        <family val="2"/>
      </rPr>
      <t xml:space="preserve">전류 센싱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</si>
  <si>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24</t>
    </r>
  </si>
  <si>
    <r>
      <rPr>
        <sz val="10"/>
        <rFont val="Noto Sans CJK SC"/>
        <family val="2"/>
      </rPr>
      <t xml:space="preserve">온도 센싱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</si>
  <si>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9 (D2.K)</t>
    </r>
  </si>
  <si>
    <r>
      <rPr>
        <sz val="10"/>
        <rFont val="Malgun Gothic"/>
        <family val="0"/>
        <charset val="1"/>
      </rPr>
      <t xml:space="preserve">D2 </t>
    </r>
    <r>
      <rPr>
        <sz val="10"/>
        <rFont val="Noto Sans CJK SC"/>
        <family val="2"/>
      </rPr>
      <t xml:space="preserve">캐소드 →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</si>
  <si>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 (D4.K)</t>
    </r>
  </si>
  <si>
    <r>
      <rPr>
        <sz val="10"/>
        <rFont val="Malgun Gothic"/>
        <family val="0"/>
        <charset val="1"/>
      </rPr>
      <t xml:space="preserve">D4 </t>
    </r>
    <r>
      <rPr>
        <sz val="10"/>
        <rFont val="Noto Sans CJK SC"/>
        <family val="2"/>
      </rPr>
      <t xml:space="preserve">캐소드 →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</si>
  <si>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25 (D6.K)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</si>
  <si>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24</t>
    </r>
  </si>
  <si>
    <r>
      <rPr>
        <sz val="10"/>
        <rFont val="Malgun Gothic"/>
        <family val="0"/>
        <charset val="1"/>
      </rPr>
      <t xml:space="preserve">D6 </t>
    </r>
    <r>
      <rPr>
        <sz val="10"/>
        <rFont val="Noto Sans CJK SC"/>
        <family val="2"/>
      </rPr>
      <t xml:space="preserve">캐소드 →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</si>
  <si>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(RREF.a)</t>
    </r>
  </si>
  <si>
    <r>
      <rPr>
        <sz val="10"/>
        <rFont val="Malgun Gothic"/>
        <family val="0"/>
        <charset val="1"/>
      </rPr>
      <t xml:space="preserve">RREF </t>
    </r>
    <r>
      <rPr>
        <sz val="10"/>
        <rFont val="Noto Sans CJK SC"/>
        <family val="2"/>
      </rPr>
      <t xml:space="preserve">위쪽 다리 → </t>
    </r>
    <r>
      <rPr>
        <sz val="10"/>
        <rFont val="Malgun Gothic"/>
        <family val="0"/>
        <charset val="1"/>
      </rPr>
      <t xml:space="preserve">3V3 </t>
    </r>
    <r>
      <rPr>
        <sz val="10"/>
        <rFont val="Noto Sans CJK SC"/>
        <family val="2"/>
      </rPr>
      <t xml:space="preserve">줄</t>
    </r>
  </si>
  <si>
    <t xml:space="preserve">5V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</si>
  <si>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 (H_PWR.5V)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</si>
  <si>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 (C_BULK.+)</t>
    </r>
  </si>
  <si>
    <r>
      <rPr>
        <sz val="10"/>
        <rFont val="Malgun Gothic"/>
        <family val="0"/>
        <charset val="1"/>
      </rPr>
      <t xml:space="preserve">5V </t>
    </r>
    <r>
      <rPr>
        <sz val="10"/>
        <rFont val="Noto Sans CJK SC"/>
        <family val="2"/>
      </rPr>
      <t xml:space="preserve">상단 줄 </t>
    </r>
    <r>
      <rPr>
        <sz val="10"/>
        <rFont val="Malgun Gothic"/>
        <family val="0"/>
        <charset val="1"/>
      </rPr>
      <t xml:space="preserve">(C_BULK </t>
    </r>
    <r>
      <rPr>
        <sz val="10"/>
        <rFont val="Noto Sans CJK SC"/>
        <family val="2"/>
      </rPr>
      <t xml:space="preserve">연결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</si>
  <si>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</si>
  <si>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</t>
    </r>
  </si>
  <si>
    <r>
      <rPr>
        <sz val="10"/>
        <rFont val="Malgun Gothic"/>
        <family val="0"/>
        <charset val="1"/>
      </rPr>
      <t xml:space="preserve">5V </t>
    </r>
    <r>
      <rPr>
        <sz val="10"/>
        <rFont val="Noto Sans CJK SC"/>
        <family val="2"/>
      </rPr>
      <t xml:space="preserve">세로 버스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</si>
  <si>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 (J_ACS.VCC)</t>
    </r>
  </si>
  <si>
    <t xml:space="preserve">ACS712 VCC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</si>
  <si>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</si>
  <si>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 (J_ES.5V</t>
    </r>
    <r>
      <rPr>
        <sz val="10"/>
        <rFont val="Noto Sans CJK SC"/>
        <family val="2"/>
      </rPr>
      <t xml:space="preserve">쪽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</si>
  <si>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비상 정지 </t>
    </r>
    <r>
      <rPr>
        <sz val="10"/>
        <rFont val="Malgun Gothic"/>
        <family val="0"/>
        <charset val="1"/>
      </rPr>
      <t xml:space="preserve">5V </t>
    </r>
    <r>
      <rPr>
        <sz val="10"/>
        <rFont val="Noto Sans CJK SC"/>
        <family val="2"/>
      </rPr>
      <t xml:space="preserve">쪽</t>
    </r>
  </si>
  <si>
    <t xml:space="preserve">GND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</si>
  <si>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 (H_PWR.GND1)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</si>
  <si>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 (C_BULK.−)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</si>
  <si>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상단 줄 </t>
    </r>
    <r>
      <rPr>
        <sz val="10"/>
        <rFont val="Malgun Gothic"/>
        <family val="0"/>
        <charset val="1"/>
      </rPr>
      <t xml:space="preserve">(C_BULK −)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</si>
  <si>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</si>
  <si>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버스 시작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</si>
  <si>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5 (H_PWR.GND2)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</si>
  <si>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연결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</si>
  <si>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46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</si>
  <si>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세로 버스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왼쪽 가장자리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</si>
  <si>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</si>
  <si>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</si>
  <si>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가로 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14)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</si>
  <si>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22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</si>
  <si>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22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</si>
  <si>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가로 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22)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</si>
  <si>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30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</si>
  <si>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30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</si>
  <si>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가로 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30)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</si>
  <si>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39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</si>
  <si>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39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</si>
  <si>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가로 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39)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</si>
  <si>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46 (LED_G.K)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</si>
  <si>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가로 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행 </t>
    </r>
    <r>
      <rPr>
        <sz val="10"/>
        <rFont val="Malgun Gothic"/>
        <family val="0"/>
        <charset val="1"/>
      </rPr>
      <t xml:space="preserve">46)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</si>
  <si>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11 (R2.b)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</si>
  <si>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</si>
  <si>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Malgun Gothic"/>
        <family val="0"/>
        <charset val="1"/>
      </rPr>
      <t xml:space="preserve">R2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</si>
  <si>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12 (C1.b)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</si>
  <si>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</si>
  <si>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Malgun Gothic"/>
        <family val="0"/>
        <charset val="1"/>
      </rPr>
      <t xml:space="preserve">C1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</si>
  <si>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11 (D3.A)</t>
    </r>
  </si>
  <si>
    <r>
      <rPr>
        <sz val="10"/>
        <rFont val="Malgun Gothic"/>
        <family val="0"/>
        <charset val="1"/>
      </rPr>
      <t xml:space="preserve">D3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</si>
  <si>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12 (J_N1.GND)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</si>
  <si>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</si>
  <si>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Malgun Gothic"/>
        <family val="0"/>
        <charset val="1"/>
      </rPr>
      <t xml:space="preserve">J_N1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</si>
  <si>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 (R4.b)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</si>
  <si>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22</t>
    </r>
  </si>
  <si>
    <r>
      <rPr>
        <sz val="10"/>
        <rFont val="Malgun Gothic"/>
        <family val="0"/>
        <charset val="1"/>
      </rPr>
      <t xml:space="preserve">R4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</si>
  <si>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20 (C2.b)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</si>
  <si>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22</t>
    </r>
  </si>
  <si>
    <r>
      <rPr>
        <sz val="10"/>
        <rFont val="Malgun Gothic"/>
        <family val="0"/>
        <charset val="1"/>
      </rPr>
      <t xml:space="preserve">C2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</si>
  <si>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 (D5.A)</t>
    </r>
  </si>
  <si>
    <r>
      <rPr>
        <sz val="10"/>
        <rFont val="Malgun Gothic"/>
        <family val="0"/>
        <charset val="1"/>
      </rPr>
      <t xml:space="preserve">D5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</si>
  <si>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19 (J_ACS.GND)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</si>
  <si>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22</t>
    </r>
  </si>
  <si>
    <r>
      <rPr>
        <sz val="10"/>
        <rFont val="Malgun Gothic"/>
        <family val="0"/>
        <charset val="1"/>
      </rPr>
      <t xml:space="preserve">J_ACS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</si>
  <si>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28 (C3.b)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</si>
  <si>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30</t>
    </r>
  </si>
  <si>
    <r>
      <rPr>
        <sz val="10"/>
        <rFont val="Malgun Gothic"/>
        <family val="0"/>
        <charset val="1"/>
      </rPr>
      <t xml:space="preserve">C3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</si>
  <si>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 (D7.A)</t>
    </r>
  </si>
  <si>
    <r>
      <rPr>
        <sz val="10"/>
        <rFont val="Malgun Gothic"/>
        <family val="0"/>
        <charset val="1"/>
      </rPr>
      <t xml:space="preserve">D7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</si>
  <si>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29 (J_NTC.NTC−)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</si>
  <si>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30</t>
    </r>
  </si>
  <si>
    <r>
      <rPr>
        <sz val="10"/>
        <rFont val="Malgun Gothic"/>
        <family val="0"/>
        <charset val="1"/>
      </rPr>
      <t xml:space="preserve">J_NTC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</si>
  <si>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(Q1.E)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</si>
  <si>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39</t>
    </r>
  </si>
  <si>
    <r>
      <rPr>
        <sz val="10"/>
        <rFont val="Malgun Gothic"/>
        <family val="0"/>
        <charset val="1"/>
      </rPr>
      <t xml:space="preserve">Q1 </t>
    </r>
    <r>
      <rPr>
        <sz val="10"/>
        <rFont val="Noto Sans CJK SC"/>
        <family val="2"/>
      </rPr>
      <t xml:space="preserve">에미터 → </t>
    </r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</si>
  <si>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(RPD.b)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</si>
  <si>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39</t>
    </r>
  </si>
  <si>
    <r>
      <rPr>
        <sz val="10"/>
        <rFont val="Malgun Gothic"/>
        <family val="0"/>
        <charset val="1"/>
      </rPr>
      <t xml:space="preserve">RPD → GND 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</si>
  <si>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44 (LED_R.K)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</si>
  <si>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46</t>
    </r>
  </si>
  <si>
    <r>
      <rPr>
        <sz val="10"/>
        <rFont val="Malgun Gothic"/>
        <family val="0"/>
        <charset val="1"/>
      </rPr>
      <t xml:space="preserve">LED_R → GND </t>
    </r>
    <r>
      <rPr>
        <sz val="10"/>
        <rFont val="Noto Sans CJK SC"/>
        <family val="2"/>
      </rPr>
      <t xml:space="preserve">줄</t>
    </r>
  </si>
  <si>
    <t xml:space="preserve">N1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</si>
  <si>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(J_N1.N1)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</si>
  <si>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(R1.a)</t>
    </r>
  </si>
  <si>
    <t xml:space="preserve">J_N1 → R1</t>
  </si>
  <si>
    <t xml:space="preserve">ADC_V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</si>
  <si>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(R1.b)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</si>
  <si>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 (PA0.PA0)</t>
    </r>
  </si>
  <si>
    <t xml:space="preserve">전압 센싱 신호 줄</t>
  </si>
  <si>
    <t xml:space="preserve">ACS_OUT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</si>
  <si>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(J_ACS.OUT)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</si>
  <si>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(R3.a)</t>
    </r>
  </si>
  <si>
    <t xml:space="preserve">ACS712 OUT → R3</t>
  </si>
  <si>
    <t xml:space="preserve">ADC_I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</si>
  <si>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(R3.b)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</si>
  <si>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 (PA1.PA1)</t>
    </r>
  </si>
  <si>
    <t xml:space="preserve">전류 센싱 신호 줄</t>
  </si>
  <si>
    <t xml:space="preserve">ADC_T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</si>
  <si>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(RREF.b)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</si>
  <si>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 (PA4.PA4)</t>
    </r>
  </si>
  <si>
    <t xml:space="preserve">온도 센싱 신호 줄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</si>
  <si>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 (J_NTC.NTC+)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</si>
  <si>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11·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</t>
    </r>
  </si>
  <si>
    <r>
      <rPr>
        <sz val="10"/>
        <rFont val="Malgun Gothic"/>
        <family val="0"/>
        <charset val="1"/>
      </rPr>
      <t xml:space="preserve">J_NTC → </t>
    </r>
    <r>
      <rPr>
        <sz val="10"/>
        <rFont val="Noto Sans CJK SC"/>
        <family val="2"/>
      </rPr>
      <t xml:space="preserve">신호 줄</t>
    </r>
  </si>
  <si>
    <t xml:space="preserve">COIL_P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</si>
  <si>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(J_ES.</t>
    </r>
    <r>
      <rPr>
        <sz val="10"/>
        <rFont val="Noto Sans CJK SC"/>
        <family val="2"/>
      </rPr>
      <t xml:space="preserve">코일쪽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</si>
  <si>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(D1.K)</t>
    </r>
  </si>
  <si>
    <r>
      <rPr>
        <sz val="10"/>
        <rFont val="Noto Sans CJK SC"/>
        <family val="2"/>
      </rPr>
      <t xml:space="preserve">비상 정지 → 코일</t>
    </r>
    <r>
      <rPr>
        <sz val="10"/>
        <rFont val="Malgun Gothic"/>
        <family val="0"/>
        <charset val="1"/>
      </rPr>
      <t xml:space="preserve">+ / D1 </t>
    </r>
    <r>
      <rPr>
        <sz val="10"/>
        <rFont val="Noto Sans CJK SC"/>
        <family val="2"/>
      </rPr>
      <t xml:space="preserve">캐소드</t>
    </r>
  </si>
  <si>
    <t xml:space="preserve">COIL_N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</si>
  <si>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9·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38 (J_COIL.</t>
    </r>
    <r>
      <rPr>
        <sz val="10"/>
        <rFont val="Noto Sans CJK SC"/>
        <family val="2"/>
      </rPr>
      <t xml:space="preserve">코일−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</si>
  <si>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38</t>
    </r>
  </si>
  <si>
    <r>
      <rPr>
        <sz val="10"/>
        <rFont val="Noto Sans CJK SC"/>
        <family val="2"/>
      </rPr>
      <t xml:space="preserve">코일− → </t>
    </r>
    <r>
      <rPr>
        <sz val="10"/>
        <rFont val="Malgun Gothic"/>
        <family val="0"/>
        <charset val="1"/>
      </rPr>
      <t xml:space="preserve">D1 </t>
    </r>
    <r>
      <rPr>
        <sz val="10"/>
        <rFont val="Noto Sans CJK SC"/>
        <family val="2"/>
      </rPr>
      <t xml:space="preserve">쪽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</si>
  <si>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13·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37 (D1.A)</t>
    </r>
  </si>
  <si>
    <r>
      <rPr>
        <sz val="10"/>
        <rFont val="Malgun Gothic"/>
        <family val="0"/>
        <charset val="1"/>
      </rPr>
      <t xml:space="preserve">D1 </t>
    </r>
    <r>
      <rPr>
        <sz val="10"/>
        <rFont val="Noto Sans CJK SC"/>
        <family val="2"/>
      </rPr>
      <t xml:space="preserve">애노드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</si>
  <si>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 (Q1.C)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</si>
  <si>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38 →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</t>
    </r>
  </si>
  <si>
    <r>
      <rPr>
        <sz val="10"/>
        <rFont val="Noto Sans CJK SC"/>
        <family val="2"/>
      </rPr>
      <t xml:space="preserve">코일− → </t>
    </r>
    <r>
      <rPr>
        <sz val="10"/>
        <rFont val="Malgun Gothic"/>
        <family val="0"/>
        <charset val="1"/>
      </rPr>
      <t xml:space="preserve">Q1 </t>
    </r>
    <r>
      <rPr>
        <sz val="10"/>
        <rFont val="Noto Sans CJK SC"/>
        <family val="2"/>
      </rPr>
      <t xml:space="preserve">컬렉터</t>
    </r>
  </si>
  <si>
    <t xml:space="preserve">BASE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</si>
  <si>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(Q1.B)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</si>
  <si>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(RB.a)</t>
    </r>
  </si>
  <si>
    <r>
      <rPr>
        <sz val="10"/>
        <rFont val="Malgun Gothic"/>
        <family val="0"/>
        <charset val="1"/>
      </rPr>
      <t xml:space="preserve">Q1 </t>
    </r>
    <r>
      <rPr>
        <sz val="10"/>
        <rFont val="Noto Sans CJK SC"/>
        <family val="2"/>
      </rPr>
      <t xml:space="preserve">베이스 줄 </t>
    </r>
    <r>
      <rPr>
        <sz val="10"/>
        <rFont val="Malgun Gothic"/>
        <family val="0"/>
        <charset val="1"/>
      </rPr>
      <t xml:space="preserve">(RPD </t>
    </r>
    <r>
      <rPr>
        <sz val="10"/>
        <rFont val="Noto Sans CJK SC"/>
        <family val="2"/>
      </rPr>
      <t xml:space="preserve">포함</t>
    </r>
    <r>
      <rPr>
        <sz val="10"/>
        <rFont val="Malgun Gothic"/>
        <family val="0"/>
        <charset val="1"/>
      </rPr>
      <t xml:space="preserve">)</t>
    </r>
  </si>
  <si>
    <t xml:space="preserve">RELAY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</si>
  <si>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(RB.b)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</si>
  <si>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 (PC0.PC0)</t>
    </r>
  </si>
  <si>
    <r>
      <rPr>
        <sz val="10"/>
        <rFont val="Malgun Gothic"/>
        <family val="0"/>
        <charset val="1"/>
      </rPr>
      <t xml:space="preserve">PC0 </t>
    </r>
    <r>
      <rPr>
        <sz val="10"/>
        <rFont val="Noto Sans CJK SC"/>
        <family val="2"/>
      </rPr>
      <t xml:space="preserve">신호 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</si>
  <si>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(RLED_R.b)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</si>
  <si>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(PB1.PB1)</t>
    </r>
  </si>
  <si>
    <r>
      <rPr>
        <sz val="10"/>
        <rFont val="Malgun Gothic"/>
        <family val="0"/>
        <charset val="1"/>
      </rPr>
      <t xml:space="preserve">PB1 </t>
    </r>
    <r>
      <rPr>
        <sz val="10"/>
        <rFont val="Noto Sans CJK SC"/>
        <family val="2"/>
      </rPr>
      <t xml:space="preserve">신호 줄</t>
    </r>
  </si>
  <si>
    <t xml:space="preserve">LEDR_A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</si>
  <si>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(RLED_R.a)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</si>
  <si>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18·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 (LED_R.A)</t>
    </r>
  </si>
  <si>
    <r>
      <rPr>
        <sz val="10"/>
        <rFont val="Noto Sans CJK SC"/>
        <family val="2"/>
      </rPr>
      <t xml:space="preserve">빨간 </t>
    </r>
    <r>
      <rPr>
        <sz val="10"/>
        <rFont val="Malgun Gothic"/>
        <family val="0"/>
        <charset val="1"/>
      </rPr>
      <t xml:space="preserve">LED </t>
    </r>
    <r>
      <rPr>
        <sz val="10"/>
        <rFont val="Noto Sans CJK SC"/>
        <family val="2"/>
      </rPr>
      <t xml:space="preserve">애노드 줄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</si>
  <si>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27·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(RLED_G.b)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</si>
  <si>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(PB0.PB0)</t>
    </r>
  </si>
  <si>
    <r>
      <rPr>
        <sz val="10"/>
        <rFont val="Malgun Gothic"/>
        <family val="0"/>
        <charset val="1"/>
      </rPr>
      <t xml:space="preserve">PB0 </t>
    </r>
    <r>
      <rPr>
        <sz val="10"/>
        <rFont val="Noto Sans CJK SC"/>
        <family val="2"/>
      </rPr>
      <t xml:space="preserve">신호 줄</t>
    </r>
  </si>
  <si>
    <t xml:space="preserve">LEDG_A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</si>
  <si>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26·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(RLED_G.a)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</si>
  <si>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22·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 (LED_G.A)</t>
    </r>
  </si>
  <si>
    <r>
      <rPr>
        <sz val="10"/>
        <rFont val="Noto Sans CJK SC"/>
        <family val="2"/>
      </rPr>
      <t xml:space="preserve">녹색 </t>
    </r>
    <r>
      <rPr>
        <sz val="10"/>
        <rFont val="Malgun Gothic"/>
        <family val="0"/>
        <charset val="1"/>
      </rPr>
      <t xml:space="preserve">LED </t>
    </r>
    <r>
      <rPr>
        <sz val="10"/>
        <rFont val="Noto Sans CJK SC"/>
        <family val="2"/>
      </rPr>
      <t xml:space="preserve">애노드 줄</t>
    </r>
  </si>
  <si>
    <r>
      <rPr>
        <b val="true"/>
        <sz val="14"/>
        <rFont val="Noto Sans CJK SC"/>
        <family val="2"/>
      </rPr>
      <t xml:space="preserve">외부 연결표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기판 ↔ </t>
    </r>
    <r>
      <rPr>
        <b val="true"/>
        <sz val="14"/>
        <rFont val="Malgun Gothic"/>
        <family val="0"/>
        <charset val="1"/>
      </rPr>
      <t xml:space="preserve">NUCLEO / </t>
    </r>
    <r>
      <rPr>
        <b val="true"/>
        <sz val="14"/>
        <rFont val="Noto Sans CJK SC"/>
        <family val="2"/>
      </rPr>
      <t xml:space="preserve">센서 </t>
    </r>
    <r>
      <rPr>
        <b val="true"/>
        <sz val="14"/>
        <rFont val="Malgun Gothic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전원</t>
    </r>
    <r>
      <rPr>
        <b val="true"/>
        <sz val="14"/>
        <rFont val="Malgun Gothic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</si>
  <si>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기판의 수 핀헤더와 </t>
    </r>
    <r>
      <rPr>
        <i val="true"/>
        <sz val="10"/>
        <color rgb="FF595959"/>
        <rFont val="Malgun Gothic"/>
        <family val="0"/>
        <charset val="1"/>
      </rPr>
      <t xml:space="preserve">NUCLEO, ACS712 </t>
    </r>
    <r>
      <rPr>
        <i val="true"/>
        <sz val="10"/>
        <color rgb="FF595959"/>
        <rFont val="Noto Sans CJK SC"/>
        <family val="2"/>
      </rPr>
      <t xml:space="preserve">모듈은 </t>
    </r>
    <r>
      <rPr>
        <i val="true"/>
        <sz val="10"/>
        <color rgb="FF595959"/>
        <rFont val="Malgun Gothic"/>
        <family val="0"/>
        <charset val="1"/>
      </rPr>
      <t xml:space="preserve">F-F </t>
    </r>
    <r>
      <rPr>
        <i val="true"/>
        <sz val="10"/>
        <color rgb="FF595959"/>
        <rFont val="Noto Sans CJK SC"/>
        <family val="2"/>
      </rPr>
      <t xml:space="preserve">점퍼선으로 연결합니다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스크류 터미널에는 전선을 물려 연결합니다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부하 전류가 흐르는 선은 기판에 연결하지 않습니다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</si>
  <si>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t xml:space="preserve">기판 단자</t>
  </si>
  <si>
    <t xml:space="preserve">기판 위치</t>
  </si>
  <si>
    <t xml:space="preserve">연결 대상</t>
  </si>
  <si>
    <t xml:space="preserve">연결 대상 위치</t>
  </si>
  <si>
    <t xml:space="preserve">방법</t>
  </si>
  <si>
    <t xml:space="preserve">H_PWR 3V3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</si>
  <si>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</t>
    </r>
  </si>
  <si>
    <t xml:space="preserve">NUCLEO 3V3</t>
  </si>
  <si>
    <t xml:space="preserve">CN7-16</t>
  </si>
  <si>
    <r>
      <rPr>
        <sz val="10"/>
        <rFont val="Malgun Gothic"/>
        <family val="0"/>
        <charset val="1"/>
      </rPr>
      <t xml:space="preserve">F-F </t>
    </r>
    <r>
      <rPr>
        <sz val="10"/>
        <rFont val="Noto Sans CJK SC"/>
        <family val="2"/>
      </rPr>
      <t xml:space="preserve">점퍼</t>
    </r>
  </si>
  <si>
    <t xml:space="preserve">H_PWR 5V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</si>
  <si>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</t>
    </r>
  </si>
  <si>
    <t xml:space="preserve">NUCLEO 5V</t>
  </si>
  <si>
    <t xml:space="preserve">CN7-18</t>
  </si>
  <si>
    <t xml:space="preserve">H_PWR GND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</si>
  <si>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 (</t>
    </r>
    <r>
      <rPr>
        <sz val="10"/>
        <rFont val="Noto Sans CJK SC"/>
        <family val="2"/>
      </rPr>
      <t xml:space="preserve">예비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5)</t>
    </r>
  </si>
  <si>
    <t xml:space="preserve">NUCLEO GND</t>
  </si>
  <si>
    <r>
      <rPr>
        <sz val="10"/>
        <rFont val="Malgun Gothic"/>
        <family val="0"/>
        <charset val="1"/>
      </rPr>
      <t xml:space="preserve">CN7-19, 20, 22 </t>
    </r>
    <r>
      <rPr>
        <sz val="10"/>
        <rFont val="Noto Sans CJK SC"/>
        <family val="2"/>
      </rPr>
      <t xml:space="preserve">중 하나</t>
    </r>
  </si>
  <si>
    <r>
      <rPr>
        <sz val="10"/>
        <rFont val="Malgun Gothic"/>
        <family val="0"/>
        <charset val="1"/>
      </rPr>
      <t xml:space="preserve">PA0 (</t>
    </r>
    <r>
      <rPr>
        <sz val="10"/>
        <rFont val="Noto Sans CJK SC"/>
        <family val="2"/>
      </rPr>
      <t xml:space="preserve">전압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</si>
  <si>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</t>
    </r>
  </si>
  <si>
    <t xml:space="preserve">NUCLEO PA0 (A0)</t>
  </si>
  <si>
    <t xml:space="preserve">CN7-28</t>
  </si>
  <si>
    <r>
      <rPr>
        <sz val="10"/>
        <rFont val="Malgun Gothic"/>
        <family val="0"/>
        <charset val="1"/>
      </rPr>
      <t xml:space="preserve">PA1 (</t>
    </r>
    <r>
      <rPr>
        <sz val="10"/>
        <rFont val="Noto Sans CJK SC"/>
        <family val="2"/>
      </rPr>
      <t xml:space="preserve">전류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</si>
  <si>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18</t>
    </r>
  </si>
  <si>
    <t xml:space="preserve">NUCLEO PA1 (A1)</t>
  </si>
  <si>
    <t xml:space="preserve">CN7-30</t>
  </si>
  <si>
    <r>
      <rPr>
        <sz val="10"/>
        <rFont val="Malgun Gothic"/>
        <family val="0"/>
        <charset val="1"/>
      </rPr>
      <t xml:space="preserve">PA4 (</t>
    </r>
    <r>
      <rPr>
        <sz val="10"/>
        <rFont val="Noto Sans CJK SC"/>
        <family val="2"/>
      </rPr>
      <t xml:space="preserve">온도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</si>
  <si>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26</t>
    </r>
  </si>
  <si>
    <t xml:space="preserve">NUCLEO PA4 (A2)</t>
  </si>
  <si>
    <t xml:space="preserve">CN7-32</t>
  </si>
  <si>
    <r>
      <rPr>
        <sz val="10"/>
        <rFont val="Malgun Gothic"/>
        <family val="0"/>
        <charset val="1"/>
      </rPr>
      <t xml:space="preserve">PC0 (</t>
    </r>
    <r>
      <rPr>
        <sz val="10"/>
        <rFont val="Noto Sans CJK SC"/>
        <family val="2"/>
      </rPr>
      <t xml:space="preserve">릴레이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</si>
  <si>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35</t>
    </r>
  </si>
  <si>
    <t xml:space="preserve">NUCLEO PC0 (A5)</t>
  </si>
  <si>
    <t xml:space="preserve">CN7-38</t>
  </si>
  <si>
    <r>
      <rPr>
        <sz val="10"/>
        <rFont val="Malgun Gothic"/>
        <family val="0"/>
        <charset val="1"/>
      </rPr>
      <t xml:space="preserve">PB1 (</t>
    </r>
    <r>
      <rPr>
        <sz val="10"/>
        <rFont val="Noto Sans CJK SC"/>
        <family val="2"/>
      </rPr>
      <t xml:space="preserve">빨간 </t>
    </r>
    <r>
      <rPr>
        <sz val="10"/>
        <rFont val="Malgun Gothic"/>
        <family val="0"/>
        <charset val="1"/>
      </rPr>
      <t xml:space="preserve">LED)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</si>
  <si>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43</t>
    </r>
  </si>
  <si>
    <t xml:space="preserve">NUCLEO PB1</t>
  </si>
  <si>
    <t xml:space="preserve">CN10-24</t>
  </si>
  <si>
    <r>
      <rPr>
        <sz val="10"/>
        <rFont val="Malgun Gothic"/>
        <family val="0"/>
        <charset val="1"/>
      </rPr>
      <t xml:space="preserve">PB0 (</t>
    </r>
    <r>
      <rPr>
        <sz val="10"/>
        <rFont val="Noto Sans CJK SC"/>
        <family val="2"/>
      </rPr>
      <t xml:space="preserve">녹색 </t>
    </r>
    <r>
      <rPr>
        <sz val="10"/>
        <rFont val="Malgun Gothic"/>
        <family val="0"/>
        <charset val="1"/>
      </rPr>
      <t xml:space="preserve">LED)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</si>
  <si>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32·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45</t>
    </r>
  </si>
  <si>
    <t xml:space="preserve">NUCLEO PB0 (A3)</t>
  </si>
  <si>
    <t xml:space="preserve">CN7-34</t>
  </si>
  <si>
    <t xml:space="preserve">J_ACS VCC / OUT / GND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</si>
  <si>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17 / 18 / 19</t>
    </r>
  </si>
  <si>
    <r>
      <rPr>
        <sz val="10"/>
        <rFont val="Malgun Gothic"/>
        <family val="0"/>
        <charset val="1"/>
      </rPr>
      <t xml:space="preserve">ACS712 </t>
    </r>
    <r>
      <rPr>
        <sz val="10"/>
        <rFont val="Noto Sans CJK SC"/>
        <family val="2"/>
      </rPr>
      <t xml:space="preserve">모듈 </t>
    </r>
    <r>
      <rPr>
        <sz val="10"/>
        <rFont val="Malgun Gothic"/>
        <family val="0"/>
        <charset val="1"/>
      </rPr>
      <t xml:space="preserve">VCC / OUT / GND</t>
    </r>
  </si>
  <si>
    <t xml:space="preserve">모듈 헤더</t>
  </si>
  <si>
    <r>
      <rPr>
        <sz val="10"/>
        <rFont val="Malgun Gothic"/>
        <family val="0"/>
        <charset val="1"/>
      </rPr>
      <t xml:space="preserve">F-F </t>
    </r>
    <r>
      <rPr>
        <sz val="10"/>
        <rFont val="Noto Sans CJK SC"/>
        <family val="2"/>
      </rPr>
      <t xml:space="preserve">점퍼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가닥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핀 순서 확인</t>
    </r>
    <r>
      <rPr>
        <sz val="10"/>
        <rFont val="Malgun Gothic"/>
        <family val="0"/>
        <charset val="1"/>
      </rPr>
      <t xml:space="preserve">)</t>
    </r>
  </si>
  <si>
    <t xml:space="preserve">J_N1 (N1)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</si>
  <si>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</si>
  <si>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퓨즈 출력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릴레이 앞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</si>
  <si>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가는 전선 </t>
    </r>
    <r>
      <rPr>
        <sz val="10"/>
        <rFont val="Malgun Gothic"/>
        <family val="0"/>
        <charset val="1"/>
      </rPr>
      <t xml:space="preserve">(24AWG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최대 </t>
    </r>
    <r>
      <rPr>
        <sz val="10"/>
        <rFont val="Malgun Gothic"/>
        <family val="0"/>
        <charset val="1"/>
      </rPr>
      <t xml:space="preserve">24V </t>
    </r>
    <r>
      <rPr>
        <sz val="10"/>
        <rFont val="Noto Sans CJK SC"/>
        <family val="2"/>
      </rPr>
      <t xml:space="preserve">주의</t>
    </r>
  </si>
  <si>
    <t xml:space="preserve">J_N1 (GND)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</si>
  <si>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12</t>
    </r>
  </si>
  <si>
    <t xml:space="preserve">파워서플라이 −</t>
  </si>
  <si>
    <t xml:space="preserve">가는 전선</t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</si>
  <si>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27 / 29</t>
    </r>
  </si>
  <si>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프로브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선</t>
    </r>
  </si>
  <si>
    <r>
      <rPr>
        <sz val="10"/>
        <rFont val="Noto Sans CJK SC"/>
        <family val="2"/>
      </rPr>
      <t xml:space="preserve">나사 체결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극성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</si>
  <si>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5·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34 / 36</t>
    </r>
  </si>
  <si>
    <r>
      <rPr>
        <sz val="10"/>
        <rFont val="Noto Sans CJK SC"/>
        <family val="2"/>
      </rPr>
      <t xml:space="preserve">비상 정지 스위치 </t>
    </r>
    <r>
      <rPr>
        <sz val="10"/>
        <rFont val="Malgun Gothic"/>
        <family val="0"/>
        <charset val="1"/>
      </rPr>
      <t xml:space="preserve">(NC) 2</t>
    </r>
    <r>
      <rPr>
        <sz val="10"/>
        <rFont val="Noto Sans CJK SC"/>
        <family val="2"/>
      </rPr>
      <t xml:space="preserve">선</t>
    </r>
  </si>
  <si>
    <r>
      <rPr>
        <sz val="10"/>
        <rFont val="Noto Sans CJK SC"/>
        <family val="2"/>
      </rPr>
      <t xml:space="preserve">나사 체결</t>
    </r>
    <r>
      <rPr>
        <sz val="10"/>
        <rFont val="Malgun Gothic"/>
        <family val="0"/>
        <charset val="1"/>
      </rPr>
      <t xml:space="preserve">, 5V </t>
    </r>
    <r>
      <rPr>
        <sz val="10"/>
        <rFont val="Noto Sans CJK SC"/>
        <family val="2"/>
      </rPr>
      <t xml:space="preserve">라인에 직렬</t>
    </r>
  </si>
  <si>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9·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36 / 38</t>
    </r>
  </si>
  <si>
    <r>
      <rPr>
        <sz val="10"/>
        <rFont val="Malgun Gothic"/>
        <family val="0"/>
        <charset val="1"/>
      </rPr>
      <t xml:space="preserve">22AWG </t>
    </r>
    <r>
      <rPr>
        <sz val="10"/>
        <rFont val="Noto Sans CJK SC"/>
        <family val="2"/>
      </rPr>
      <t xml:space="preserve">전선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나사 체결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코일 극성 없음</t>
    </r>
    <r>
      <rPr>
        <sz val="10"/>
        <rFont val="Malgun Gothic"/>
        <family val="0"/>
        <charset val="1"/>
      </rPr>
      <t xml:space="preserve">, D1 </t>
    </r>
    <r>
      <rPr>
        <sz val="10"/>
        <rFont val="Noto Sans CJK SC"/>
        <family val="2"/>
      </rPr>
      <t xml:space="preserve">방향만 맞출 것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</si>
  <si>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기판 밖 대전류 경로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터미널 블록으로 배선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</si>
  <si>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파워서플라이 </t>
    </r>
    <r>
      <rPr>
        <sz val="10"/>
        <rFont val="Malgun Gothic"/>
        <family val="0"/>
        <charset val="1"/>
      </rPr>
      <t xml:space="preserve">+ → </t>
    </r>
    <r>
      <rPr>
        <sz val="10"/>
        <rFont val="Noto Sans CJK SC"/>
        <family val="2"/>
      </rPr>
      <t xml:space="preserve">퓨즈 → </t>
    </r>
    <r>
      <rPr>
        <sz val="10"/>
        <rFont val="Malgun Gothic"/>
        <family val="0"/>
        <charset val="1"/>
      </rPr>
      <t xml:space="preserve">ACS712 IP+/IP− → </t>
    </r>
    <r>
      <rPr>
        <sz val="10"/>
        <rFont val="Noto Sans CJK SC"/>
        <family val="2"/>
      </rPr>
      <t xml:space="preserve">릴레이 </t>
    </r>
    <r>
      <rPr>
        <sz val="10"/>
        <rFont val="Malgun Gothic"/>
        <family val="0"/>
        <charset val="1"/>
      </rPr>
      <t xml:space="preserve">COM → NO → </t>
    </r>
    <r>
      <rPr>
        <sz val="10"/>
        <rFont val="Noto Sans CJK SC"/>
        <family val="2"/>
      </rPr>
      <t xml:space="preserve">부하</t>
    </r>
    <r>
      <rPr>
        <sz val="10"/>
        <rFont val="Malgun Gothic"/>
        <family val="0"/>
        <charset val="1"/>
      </rPr>
      <t xml:space="preserve">(12Ω, </t>
    </r>
    <r>
      <rPr>
        <sz val="10"/>
        <rFont val="Noto Sans CJK SC"/>
        <family val="2"/>
      </rPr>
      <t xml:space="preserve">스위치로 </t>
    </r>
    <r>
      <rPr>
        <sz val="10"/>
        <rFont val="Malgun Gothic"/>
        <family val="0"/>
        <charset val="1"/>
      </rPr>
      <t xml:space="preserve">8.2Ω </t>
    </r>
    <r>
      <rPr>
        <sz val="10"/>
        <rFont val="Noto Sans CJK SC"/>
        <family val="2"/>
      </rPr>
      <t xml:space="preserve">병렬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파워서플라이 −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퓨즈 출력에서 가는 선 하나를 </t>
    </r>
    <r>
      <rPr>
        <sz val="10"/>
        <rFont val="Malgun Gothic"/>
        <family val="0"/>
        <charset val="1"/>
      </rPr>
      <t xml:space="preserve">J_N1(N1)</t>
    </r>
    <r>
      <rPr>
        <sz val="10"/>
        <rFont val="Noto Sans CJK SC"/>
        <family val="2"/>
      </rPr>
      <t xml:space="preserve">로 분기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</si>
  <si>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차단 기준값과 </t>
    </r>
    <r>
      <rPr>
        <b val="true"/>
        <sz val="14"/>
        <rFont val="Malgun Gothic"/>
        <family val="0"/>
        <charset val="1"/>
      </rPr>
      <t xml:space="preserve">ADC </t>
    </r>
    <r>
      <rPr>
        <b val="true"/>
        <sz val="14"/>
        <rFont val="Noto Sans CJK SC"/>
        <family val="2"/>
      </rPr>
      <t xml:space="preserve">코드 계산</t>
    </r>
  </si>
  <si>
    <r>
      <rPr>
        <i val="true"/>
        <sz val="10"/>
        <color rgb="FF595959"/>
        <rFont val="Noto Sans CJK SC"/>
        <family val="2"/>
      </rPr>
      <t xml:space="preserve">파란 글씨 </t>
    </r>
    <r>
      <rPr>
        <i val="true"/>
        <sz val="10"/>
        <color rgb="FF595959"/>
        <rFont val="Malgun Gothic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입력값</t>
    </r>
    <r>
      <rPr>
        <i val="true"/>
        <sz val="10"/>
        <color rgb="FF595959"/>
        <rFont val="Malgun Gothic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검은 글씨 </t>
    </r>
    <r>
      <rPr>
        <i val="true"/>
        <sz val="10"/>
        <color rgb="FF595959"/>
        <rFont val="Malgun Gothic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계산식</t>
    </r>
    <r>
      <rPr>
        <i val="true"/>
        <sz val="10"/>
        <color rgb="FF595959"/>
        <rFont val="Malgun Gothic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노란 칸 </t>
    </r>
    <r>
      <rPr>
        <i val="true"/>
        <sz val="10"/>
        <color rgb="FF595959"/>
        <rFont val="Malgun Gothic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팀에서 확정할 기준값</t>
    </r>
    <r>
      <rPr>
        <i val="true"/>
        <sz val="10"/>
        <color rgb="FF595959"/>
        <rFont val="Malgun Gothic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기준값을 바꾸면 </t>
    </r>
    <r>
      <rPr>
        <i val="true"/>
        <sz val="10"/>
        <color rgb="FF595959"/>
        <rFont val="Malgun Gothic"/>
        <family val="0"/>
        <charset val="1"/>
      </rPr>
      <t xml:space="preserve">ADC </t>
    </r>
    <r>
      <rPr>
        <i val="true"/>
        <sz val="10"/>
        <color rgb="FF595959"/>
        <rFont val="Noto Sans CJK SC"/>
        <family val="2"/>
      </rPr>
      <t xml:space="preserve">코드가 자동으로 바뀝니다</t>
    </r>
    <r>
      <rPr>
        <i val="true"/>
        <sz val="10"/>
        <color rgb="FF595959"/>
        <rFont val="Malgun Gothic"/>
        <family val="0"/>
        <charset val="1"/>
      </rPr>
      <t xml:space="preserve">.</t>
    </r>
  </si>
  <si>
    <t xml:space="preserve">입력값</t>
  </si>
  <si>
    <t xml:space="preserve">정상 동작 전압</t>
  </si>
  <si>
    <t xml:space="preserve">V</t>
  </si>
  <si>
    <t xml:space="preserve">시험 기준 전압</t>
  </si>
  <si>
    <r>
      <rPr>
        <sz val="10"/>
        <rFont val="Noto Sans CJK SC"/>
        <family val="2"/>
      </rPr>
      <t xml:space="preserve">분압 저항 </t>
    </r>
    <r>
      <rPr>
        <sz val="10"/>
        <rFont val="Malgun Gothic"/>
        <family val="0"/>
        <charset val="1"/>
      </rPr>
      <t xml:space="preserve">R1</t>
    </r>
  </si>
  <si>
    <t xml:space="preserve">kΩ</t>
  </si>
  <si>
    <r>
      <rPr>
        <sz val="10"/>
        <rFont val="Malgun Gothic"/>
        <family val="0"/>
        <charset val="1"/>
      </rPr>
      <t xml:space="preserve">v2 </t>
    </r>
    <r>
      <rPr>
        <sz val="10"/>
        <rFont val="Noto Sans CJK SC"/>
        <family val="2"/>
      </rPr>
      <t xml:space="preserve">이후 선택값</t>
    </r>
  </si>
  <si>
    <r>
      <rPr>
        <sz val="10"/>
        <rFont val="Noto Sans CJK SC"/>
        <family val="2"/>
      </rPr>
      <t xml:space="preserve">분압 저항 </t>
    </r>
    <r>
      <rPr>
        <sz val="10"/>
        <rFont val="Malgun Gothic"/>
        <family val="0"/>
        <charset val="1"/>
      </rPr>
      <t xml:space="preserve">R2</t>
    </r>
  </si>
  <si>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기준전압</t>
    </r>
  </si>
  <si>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분해능</t>
    </r>
  </si>
  <si>
    <t xml:space="preserve">bit</t>
  </si>
  <si>
    <t xml:space="preserve">STM32F103</t>
  </si>
  <si>
    <t xml:space="preserve">과전압 차단</t>
  </si>
  <si>
    <r>
      <rPr>
        <sz val="10"/>
        <rFont val="Noto Sans CJK SC"/>
        <family val="2"/>
      </rPr>
      <t xml:space="preserve">정상의 약 </t>
    </r>
    <r>
      <rPr>
        <sz val="10"/>
        <rFont val="Malgun Gothic"/>
        <family val="0"/>
        <charset val="1"/>
      </rPr>
      <t xml:space="preserve">117%</t>
    </r>
  </si>
  <si>
    <t xml:space="preserve">과전압 복귀</t>
  </si>
  <si>
    <t xml:space="preserve">이 값 미만으로 내려가야 복귀 허용</t>
  </si>
  <si>
    <t xml:space="preserve">전류 센서 감도</t>
  </si>
  <si>
    <t xml:space="preserve">V/A</t>
  </si>
  <si>
    <t xml:space="preserve">ACS712-05B</t>
  </si>
  <si>
    <r>
      <rPr>
        <sz val="10"/>
        <rFont val="Noto Sans CJK SC"/>
        <family val="2"/>
      </rPr>
      <t xml:space="preserve">전류 센서 </t>
    </r>
    <r>
      <rPr>
        <sz val="10"/>
        <rFont val="Malgun Gothic"/>
        <family val="0"/>
        <charset val="1"/>
      </rPr>
      <t xml:space="preserve">0A </t>
    </r>
    <r>
      <rPr>
        <sz val="10"/>
        <rFont val="Noto Sans CJK SC"/>
        <family val="2"/>
      </rPr>
      <t xml:space="preserve">출력</t>
    </r>
  </si>
  <si>
    <t xml:space="preserve">시작 시 실측 보정</t>
  </si>
  <si>
    <r>
      <rPr>
        <sz val="10"/>
        <rFont val="Noto Sans CJK SC"/>
        <family val="2"/>
      </rPr>
      <t xml:space="preserve">전류 출력 분압 </t>
    </r>
    <r>
      <rPr>
        <sz val="10"/>
        <rFont val="Malgun Gothic"/>
        <family val="0"/>
        <charset val="1"/>
      </rPr>
      <t xml:space="preserve">R3</t>
    </r>
  </si>
  <si>
    <r>
      <rPr>
        <sz val="10"/>
        <rFont val="Noto Sans CJK SC"/>
        <family val="2"/>
      </rPr>
      <t xml:space="preserve">전류 출력 분압 </t>
    </r>
    <r>
      <rPr>
        <sz val="10"/>
        <rFont val="Malgun Gothic"/>
        <family val="0"/>
        <charset val="1"/>
      </rPr>
      <t xml:space="preserve">R4</t>
    </r>
  </si>
  <si>
    <r>
      <rPr>
        <sz val="10"/>
        <rFont val="Malgun Gothic"/>
        <family val="0"/>
        <charset val="1"/>
      </rPr>
      <t xml:space="preserve">GND </t>
    </r>
    <r>
      <rPr>
        <sz val="10"/>
        <rFont val="Noto Sans CJK SC"/>
        <family val="2"/>
      </rPr>
      <t xml:space="preserve">쪽</t>
    </r>
  </si>
  <si>
    <t xml:space="preserve">과전류 차단</t>
  </si>
  <si>
    <t xml:space="preserve">A</t>
  </si>
  <si>
    <r>
      <rPr>
        <sz val="10"/>
        <rFont val="Noto Sans CJK SC"/>
        <family val="2"/>
      </rPr>
      <t xml:space="preserve">정상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1A)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배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복귀는 수동 리셋</t>
    </r>
  </si>
  <si>
    <t xml:space="preserve">상시 부하 저항</t>
  </si>
  <si>
    <t xml:space="preserve">Ω</t>
  </si>
  <si>
    <r>
      <rPr>
        <sz val="10"/>
        <rFont val="Malgun Gothic"/>
        <family val="0"/>
        <charset val="1"/>
      </rPr>
      <t xml:space="preserve">50W </t>
    </r>
    <r>
      <rPr>
        <sz val="10"/>
        <rFont val="Noto Sans CJK SC"/>
        <family val="2"/>
      </rPr>
      <t xml:space="preserve">알루미늄 저항</t>
    </r>
  </si>
  <si>
    <t xml:space="preserve">추가 시험 부하 저항</t>
  </si>
  <si>
    <t xml:space="preserve">스위치로 병렬 투입</t>
  </si>
  <si>
    <r>
      <rPr>
        <sz val="10"/>
        <rFont val="Malgun Gothic"/>
        <family val="0"/>
        <charset val="1"/>
      </rPr>
      <t xml:space="preserve">NTC 25°C </t>
    </r>
    <r>
      <rPr>
        <sz val="10"/>
        <rFont val="Noto Sans CJK SC"/>
        <family val="2"/>
      </rPr>
      <t xml:space="preserve">저항</t>
    </r>
  </si>
  <si>
    <r>
      <rPr>
        <sz val="10"/>
        <rFont val="Malgun Gothic"/>
        <family val="0"/>
        <charset val="1"/>
      </rPr>
      <t xml:space="preserve">NTC B</t>
    </r>
    <r>
      <rPr>
        <sz val="10"/>
        <rFont val="Noto Sans CJK SC"/>
        <family val="2"/>
      </rPr>
      <t xml:space="preserve">값</t>
    </r>
  </si>
  <si>
    <t xml:space="preserve">K</t>
  </si>
  <si>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기준저항 </t>
    </r>
    <r>
      <rPr>
        <sz val="10"/>
        <rFont val="Malgun Gothic"/>
        <family val="0"/>
        <charset val="1"/>
      </rPr>
      <t xml:space="preserve">Rref</t>
    </r>
  </si>
  <si>
    <r>
      <rPr>
        <sz val="10"/>
        <rFont val="Malgun Gothic"/>
        <family val="0"/>
        <charset val="1"/>
      </rPr>
      <t xml:space="preserve">3.3V </t>
    </r>
    <r>
      <rPr>
        <sz val="10"/>
        <rFont val="Noto Sans CJK SC"/>
        <family val="2"/>
      </rPr>
      <t xml:space="preserve">쪽</t>
    </r>
  </si>
  <si>
    <t xml:space="preserve">과온도 차단</t>
  </si>
  <si>
    <t xml:space="preserve">°C</t>
  </si>
  <si>
    <t xml:space="preserve">과온도 복귀</t>
  </si>
  <si>
    <r>
      <rPr>
        <b val="true"/>
        <sz val="10"/>
        <color rgb="FFFFFFFF"/>
        <rFont val="Noto Sans CJK SC"/>
        <family val="2"/>
      </rPr>
      <t xml:space="preserve">계산 결과</t>
    </r>
    <r>
      <rPr>
        <b val="true"/>
        <sz val="10"/>
        <color rgb="FFFFFFFF"/>
        <rFont val="Malgun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전압</t>
    </r>
  </si>
  <si>
    <t xml:space="preserve">분압비</t>
  </si>
  <si>
    <t xml:space="preserve">R2 / (R1 + R2)</t>
  </si>
  <si>
    <r>
      <rPr>
        <sz val="10"/>
        <rFont val="Noto Sans CJK SC"/>
        <family val="2"/>
      </rPr>
      <t xml:space="preserve">정상 전압 시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입력</t>
    </r>
  </si>
  <si>
    <t xml:space="preserve">측정 가능 최대 전압</t>
  </si>
  <si>
    <r>
      <rPr>
        <sz val="10"/>
        <rFont val="Noto Sans CJK SC"/>
        <family val="2"/>
      </rPr>
      <t xml:space="preserve">이 값 이상은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포화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공급기 전압을 이보다 높이지 말 것</t>
    </r>
  </si>
  <si>
    <r>
      <rPr>
        <sz val="10"/>
        <rFont val="Noto Sans CJK SC"/>
        <family val="2"/>
      </rPr>
      <t xml:space="preserve">과전압 차단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</si>
  <si>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code</t>
  </si>
  <si>
    <t xml:space="preserve">이 코드 이상이면 차단</t>
  </si>
  <si>
    <r>
      <rPr>
        <sz val="10"/>
        <rFont val="Noto Sans CJK SC"/>
        <family val="2"/>
      </rPr>
      <t xml:space="preserve">과전압 복귀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</si>
  <si>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이 코드 미만이면 복귀 가능</t>
  </si>
  <si>
    <r>
      <rPr>
        <b val="true"/>
        <sz val="10"/>
        <color rgb="FFFFFFFF"/>
        <rFont val="Noto Sans CJK SC"/>
        <family val="2"/>
      </rPr>
      <t xml:space="preserve">계산 결과</t>
    </r>
    <r>
      <rPr>
        <b val="true"/>
        <sz val="10"/>
        <color rgb="FFFFFFFF"/>
        <rFont val="Malgun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전류</t>
    </r>
  </si>
  <si>
    <t xml:space="preserve">출력 분압비</t>
  </si>
  <si>
    <t xml:space="preserve">R4 / (R3 + R4)</t>
  </si>
  <si>
    <r>
      <rPr>
        <sz val="10"/>
        <rFont val="Malgun Gothic"/>
        <family val="0"/>
        <charset val="1"/>
      </rPr>
      <t xml:space="preserve">0A</t>
    </r>
    <r>
      <rPr>
        <sz val="10"/>
        <rFont val="Noto Sans CJK SC"/>
        <family val="2"/>
      </rPr>
      <t xml:space="preserve">일 때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</si>
  <si>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영점 보정 기준</t>
  </si>
  <si>
    <t xml:space="preserve">상시 부하 전류</t>
  </si>
  <si>
    <r>
      <rPr>
        <sz val="10"/>
        <rFont val="Noto Sans CJK SC"/>
        <family val="2"/>
      </rPr>
      <t xml:space="preserve">시험 부하 전류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병렬 투입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</si>
  <si>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공급기 </t>
    </r>
    <r>
      <rPr>
        <sz val="10"/>
        <rFont val="Malgun Gothic"/>
        <family val="0"/>
        <charset val="1"/>
      </rPr>
      <t xml:space="preserve">CC</t>
    </r>
    <r>
      <rPr>
        <sz val="10"/>
        <rFont val="Noto Sans CJK SC"/>
        <family val="2"/>
      </rPr>
      <t xml:space="preserve">는 이보다 약간 높게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2.7A)</t>
    </r>
  </si>
  <si>
    <r>
      <rPr>
        <sz val="10"/>
        <rFont val="Noto Sans CJK SC"/>
        <family val="2"/>
      </rPr>
      <t xml:space="preserve">과전류 차단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</si>
  <si>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r>
      <rPr>
        <sz val="10"/>
        <rFont val="Noto Sans CJK SC"/>
        <family val="2"/>
      </rPr>
      <t xml:space="preserve">시험 부하 시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</si>
  <si>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시험 전류가 차단 기준을 넘는가</t>
  </si>
  <si>
    <r>
      <rPr>
        <sz val="10"/>
        <rFont val="Noto Sans CJK SC"/>
        <family val="2"/>
      </rPr>
      <t xml:space="preserve">정격 </t>
    </r>
    <r>
      <rPr>
        <sz val="10"/>
        <rFont val="Malgun Gothic"/>
        <family val="0"/>
        <charset val="1"/>
      </rPr>
      <t xml:space="preserve">5A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범위</t>
    </r>
  </si>
  <si>
    <r>
      <rPr>
        <sz val="10"/>
        <rFont val="Malgun Gothic"/>
        <family val="0"/>
        <charset val="1"/>
      </rPr>
      <t xml:space="preserve">ACS712-05B </t>
    </r>
    <r>
      <rPr>
        <sz val="10"/>
        <rFont val="Noto Sans CJK SC"/>
        <family val="2"/>
      </rPr>
      <t xml:space="preserve">풀스케일 기준</t>
    </r>
  </si>
  <si>
    <r>
      <rPr>
        <b val="true"/>
        <sz val="10"/>
        <color rgb="FFFFFFFF"/>
        <rFont val="Noto Sans CJK SC"/>
        <family val="2"/>
      </rPr>
      <t xml:space="preserve">계산 결과</t>
    </r>
    <r>
      <rPr>
        <b val="true"/>
        <sz val="10"/>
        <color rgb="FFFFFFFF"/>
        <rFont val="Malgun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온도</t>
    </r>
  </si>
  <si>
    <r>
      <rPr>
        <sz val="10"/>
        <rFont val="Noto Sans CJK SC"/>
        <family val="2"/>
      </rPr>
      <t xml:space="preserve">과온도에서 </t>
    </r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저항</t>
    </r>
  </si>
  <si>
    <r>
      <rPr>
        <sz val="10"/>
        <rFont val="Malgun Gothic"/>
        <family val="0"/>
        <charset val="1"/>
      </rPr>
      <t xml:space="preserve">Beta </t>
    </r>
    <r>
      <rPr>
        <sz val="10"/>
        <rFont val="Noto Sans CJK SC"/>
        <family val="2"/>
      </rPr>
      <t xml:space="preserve">식</t>
    </r>
  </si>
  <si>
    <r>
      <rPr>
        <sz val="10"/>
        <rFont val="Noto Sans CJK SC"/>
        <family val="2"/>
      </rPr>
      <t xml:space="preserve">과온도 차단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</si>
  <si>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온도가 오르면 코드가 내려가므로 이 코드 이하이면 차단</t>
  </si>
  <si>
    <r>
      <rPr>
        <sz val="10"/>
        <rFont val="Noto Sans CJK SC"/>
        <family val="2"/>
      </rPr>
      <t xml:space="preserve">복귀 온도에서 </t>
    </r>
    <r>
      <rPr>
        <sz val="10"/>
        <rFont val="Malgun Gothic"/>
        <family val="0"/>
        <charset val="1"/>
      </rPr>
      <t xml:space="preserve">NTC </t>
    </r>
    <r>
      <rPr>
        <sz val="10"/>
        <rFont val="Noto Sans CJK SC"/>
        <family val="2"/>
      </rPr>
      <t xml:space="preserve">저항</t>
    </r>
  </si>
  <si>
    <r>
      <rPr>
        <sz val="10"/>
        <rFont val="Noto Sans CJK SC"/>
        <family val="2"/>
      </rPr>
      <t xml:space="preserve">과온도 복귀 </t>
    </r>
    <r>
      <rPr>
        <sz val="10"/>
        <rFont val="Malgun Gothic"/>
        <family val="0"/>
        <charset val="1"/>
      </rPr>
      <t xml:space="preserve">ADC </t>
    </r>
    <r>
      <rPr>
        <sz val="10"/>
        <rFont val="Noto Sans CJK SC"/>
        <family val="2"/>
      </rPr>
      <t xml:space="preserve">코드</t>
    </r>
  </si>
  <si>
    <t xml:space="preserve">이 코드 초과이면 복귀 가능</t>
  </si>
  <si>
    <r>
      <rPr>
        <b val="true"/>
        <sz val="10"/>
        <color rgb="FFFFFFFF"/>
        <rFont val="Noto Sans CJK SC"/>
        <family val="2"/>
      </rPr>
      <t xml:space="preserve">계산 결과</t>
    </r>
    <r>
      <rPr>
        <b val="true"/>
        <sz val="10"/>
        <color rgb="FFFFFFFF"/>
        <rFont val="Malgun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부하 전력</t>
    </r>
  </si>
  <si>
    <t xml:space="preserve">상시 부하 전력</t>
  </si>
  <si>
    <t xml:space="preserve">W</t>
  </si>
  <si>
    <t xml:space="preserve">방열판 필수</t>
  </si>
  <si>
    <t xml:space="preserve">추가 부하 전력</t>
  </si>
  <si>
    <t xml:space="preserve">짧게만 시험</t>
  </si>
  <si>
    <t xml:space="preserve">과전압 차단 직전 상시 부하 전력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</si>
</sst>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0.0000"/>
    <numFmt numFmtId="168" formatCode="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Malgun Gothic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sz val="10"/>
      <color rgb="FF0000FF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Malgun Gothic"/>
        <charset val="1"/>
        <family val="0"/>
        <strike val="1"/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8" t="s">
        <v>16</v>
      </c>
      <c r="H5" s="6" t="s">
        <v>17</v>
      </c>
    </row>
    <row r="6" customFormat="false" ht="15" hidden="false" customHeight="false" outlineLevel="0" collapsed="false">
      <c r="A6" s="4" t="s">
        <v>18</v>
      </c>
      <c r="B6" s="5" t="s">
        <v>11</v>
      </c>
      <c r="C6" s="6" t="s">
        <v>19</v>
      </c>
      <c r="D6" s="7" t="s">
        <v>20</v>
      </c>
      <c r="E6" s="4" t="s">
        <v>21</v>
      </c>
      <c r="F6" s="6" t="s">
        <v>22</v>
      </c>
      <c r="G6" s="8" t="s">
        <v>16</v>
      </c>
      <c r="H6" s="7"/>
    </row>
    <row r="7" customFormat="false" ht="29.85" hidden="false" customHeight="false" outlineLevel="0" collapsed="false">
      <c r="A7" s="4" t="s">
        <v>23</v>
      </c>
      <c r="B7" s="5" t="s">
        <v>11</v>
      </c>
      <c r="C7" s="6" t="s">
        <v>24</v>
      </c>
      <c r="D7" s="7" t="s">
        <v>25</v>
      </c>
      <c r="E7" s="4" t="s">
        <v>21</v>
      </c>
      <c r="F7" s="6" t="s">
        <v>26</v>
      </c>
      <c r="G7" s="8" t="s">
        <v>16</v>
      </c>
      <c r="H7" s="6" t="s">
        <v>27</v>
      </c>
    </row>
    <row r="8" customFormat="false" ht="29.85" hidden="false" customHeight="false" outlineLevel="0" collapsed="false">
      <c r="A8" s="4" t="s">
        <v>28</v>
      </c>
      <c r="B8" s="5" t="s">
        <v>11</v>
      </c>
      <c r="C8" s="6" t="s">
        <v>29</v>
      </c>
      <c r="D8" s="7" t="s">
        <v>30</v>
      </c>
      <c r="E8" s="4" t="s">
        <v>21</v>
      </c>
      <c r="F8" s="6" t="s">
        <v>31</v>
      </c>
      <c r="G8" s="8" t="s">
        <v>16</v>
      </c>
      <c r="H8" s="6" t="s">
        <v>32</v>
      </c>
    </row>
    <row r="9" customFormat="false" ht="15" hidden="false" customHeight="false" outlineLevel="0" collapsed="false">
      <c r="A9" s="4" t="s">
        <v>33</v>
      </c>
      <c r="B9" s="5" t="s">
        <v>11</v>
      </c>
      <c r="C9" s="7" t="s">
        <v>34</v>
      </c>
      <c r="D9" s="7" t="s">
        <v>35</v>
      </c>
      <c r="E9" s="4" t="s">
        <v>21</v>
      </c>
      <c r="F9" s="6" t="s">
        <v>36</v>
      </c>
      <c r="G9" s="8" t="s">
        <v>16</v>
      </c>
      <c r="H9" s="6" t="s">
        <v>37</v>
      </c>
    </row>
    <row r="10" customFormat="false" ht="29.85" hidden="false" customHeight="false" outlineLevel="0" collapsed="false">
      <c r="A10" s="4" t="s">
        <v>38</v>
      </c>
      <c r="B10" s="5" t="s">
        <v>11</v>
      </c>
      <c r="C10" s="6" t="s">
        <v>39</v>
      </c>
      <c r="D10" s="6" t="s">
        <v>40</v>
      </c>
      <c r="E10" s="4" t="s">
        <v>41</v>
      </c>
      <c r="F10" s="6" t="s">
        <v>42</v>
      </c>
      <c r="G10" s="8" t="s">
        <v>16</v>
      </c>
      <c r="H10" s="6" t="s">
        <v>43</v>
      </c>
    </row>
    <row r="11" customFormat="false" ht="15" hidden="false" customHeight="false" outlineLevel="0" collapsed="false">
      <c r="A11" s="4" t="s">
        <v>44</v>
      </c>
      <c r="B11" s="5" t="s">
        <v>11</v>
      </c>
      <c r="C11" s="6" t="s">
        <v>45</v>
      </c>
      <c r="D11" s="7" t="s">
        <v>46</v>
      </c>
      <c r="E11" s="4" t="s">
        <v>47</v>
      </c>
      <c r="F11" s="7" t="s">
        <v>48</v>
      </c>
      <c r="G11" s="8" t="s">
        <v>16</v>
      </c>
      <c r="H11" s="6" t="s">
        <v>49</v>
      </c>
    </row>
    <row r="12" customFormat="false" ht="29.85" hidden="false" customHeight="false" outlineLevel="0" collapsed="false">
      <c r="A12" s="4" t="s">
        <v>50</v>
      </c>
      <c r="B12" s="5" t="s">
        <v>11</v>
      </c>
      <c r="C12" s="6" t="s">
        <v>51</v>
      </c>
      <c r="D12" s="6" t="s">
        <v>52</v>
      </c>
      <c r="E12" s="4" t="s">
        <v>53</v>
      </c>
      <c r="F12" s="6" t="s">
        <v>54</v>
      </c>
      <c r="G12" s="8" t="s">
        <v>16</v>
      </c>
      <c r="H12" s="6" t="s">
        <v>55</v>
      </c>
    </row>
    <row r="13" customFormat="false" ht="15" hidden="false" customHeight="false" outlineLevel="0" collapsed="false">
      <c r="A13" s="4" t="s">
        <v>56</v>
      </c>
      <c r="B13" s="5" t="s">
        <v>11</v>
      </c>
      <c r="C13" s="6" t="s">
        <v>57</v>
      </c>
      <c r="D13" s="7" t="s">
        <v>58</v>
      </c>
      <c r="E13" s="5" t="s">
        <v>59</v>
      </c>
      <c r="F13" s="6" t="s">
        <v>60</v>
      </c>
      <c r="G13" s="8" t="s">
        <v>16</v>
      </c>
      <c r="H13" s="7"/>
    </row>
    <row r="14" customFormat="false" ht="29.85" hidden="false" customHeight="false" outlineLevel="0" collapsed="false">
      <c r="A14" s="4" t="s">
        <v>61</v>
      </c>
      <c r="B14" s="5" t="s">
        <v>62</v>
      </c>
      <c r="C14" s="7" t="s">
        <v>63</v>
      </c>
      <c r="D14" s="7" t="s">
        <v>64</v>
      </c>
      <c r="E14" s="4" t="s">
        <v>65</v>
      </c>
      <c r="F14" s="6" t="s">
        <v>66</v>
      </c>
      <c r="G14" s="8" t="s">
        <v>16</v>
      </c>
      <c r="H14" s="7" t="s">
        <v>67</v>
      </c>
    </row>
    <row r="15" customFormat="false" ht="15" hidden="false" customHeight="false" outlineLevel="0" collapsed="false">
      <c r="A15" s="4" t="s">
        <v>68</v>
      </c>
      <c r="B15" s="5" t="s">
        <v>62</v>
      </c>
      <c r="C15" s="6" t="s">
        <v>69</v>
      </c>
      <c r="D15" s="7" t="s">
        <v>70</v>
      </c>
      <c r="E15" s="4" t="s">
        <v>65</v>
      </c>
      <c r="F15" s="6" t="s">
        <v>71</v>
      </c>
      <c r="G15" s="8" t="s">
        <v>16</v>
      </c>
      <c r="H15" s="6" t="s">
        <v>72</v>
      </c>
    </row>
    <row r="16" customFormat="false" ht="15" hidden="false" customHeight="false" outlineLevel="0" collapsed="false">
      <c r="A16" s="4" t="s">
        <v>73</v>
      </c>
      <c r="B16" s="5" t="s">
        <v>62</v>
      </c>
      <c r="C16" s="7" t="s">
        <v>74</v>
      </c>
      <c r="D16" s="6" t="s">
        <v>75</v>
      </c>
      <c r="E16" s="5" t="s">
        <v>76</v>
      </c>
      <c r="F16" s="6" t="s">
        <v>77</v>
      </c>
      <c r="G16" s="8" t="s">
        <v>16</v>
      </c>
      <c r="H16" s="7"/>
    </row>
    <row r="17" customFormat="false" ht="15" hidden="false" customHeight="false" outlineLevel="0" collapsed="false">
      <c r="A17" s="4" t="s">
        <v>78</v>
      </c>
      <c r="B17" s="5" t="s">
        <v>79</v>
      </c>
      <c r="C17" s="6" t="s">
        <v>80</v>
      </c>
      <c r="D17" s="6" t="s">
        <v>81</v>
      </c>
      <c r="E17" s="4" t="s">
        <v>82</v>
      </c>
      <c r="F17" s="7" t="s">
        <v>83</v>
      </c>
      <c r="G17" s="8" t="s">
        <v>16</v>
      </c>
      <c r="H17" s="6" t="s">
        <v>84</v>
      </c>
    </row>
    <row r="18" customFormat="false" ht="15" hidden="false" customHeight="false" outlineLevel="0" collapsed="false">
      <c r="A18" s="4" t="s">
        <v>85</v>
      </c>
      <c r="B18" s="5" t="s">
        <v>79</v>
      </c>
      <c r="C18" s="6" t="s">
        <v>86</v>
      </c>
      <c r="D18" s="6" t="s">
        <v>81</v>
      </c>
      <c r="E18" s="4" t="s">
        <v>65</v>
      </c>
      <c r="F18" s="6" t="s">
        <v>87</v>
      </c>
      <c r="G18" s="8" t="s">
        <v>16</v>
      </c>
      <c r="H18" s="7" t="s">
        <v>88</v>
      </c>
    </row>
    <row r="19" customFormat="false" ht="15" hidden="false" customHeight="false" outlineLevel="0" collapsed="false">
      <c r="A19" s="4" t="s">
        <v>89</v>
      </c>
      <c r="B19" s="5" t="s">
        <v>79</v>
      </c>
      <c r="C19" s="6" t="s">
        <v>90</v>
      </c>
      <c r="D19" s="6" t="s">
        <v>81</v>
      </c>
      <c r="E19" s="4" t="s">
        <v>65</v>
      </c>
      <c r="F19" s="6" t="s">
        <v>91</v>
      </c>
      <c r="G19" s="8" t="s">
        <v>16</v>
      </c>
      <c r="H19" s="7"/>
    </row>
    <row r="20" customFormat="false" ht="15" hidden="false" customHeight="false" outlineLevel="0" collapsed="false">
      <c r="A20" s="4" t="s">
        <v>92</v>
      </c>
      <c r="B20" s="5" t="s">
        <v>79</v>
      </c>
      <c r="C20" s="6" t="s">
        <v>93</v>
      </c>
      <c r="D20" s="6" t="s">
        <v>94</v>
      </c>
      <c r="E20" s="4" t="s">
        <v>65</v>
      </c>
      <c r="F20" s="6" t="s">
        <v>95</v>
      </c>
      <c r="G20" s="8" t="s">
        <v>16</v>
      </c>
      <c r="H20" s="7"/>
    </row>
    <row r="21" customFormat="false" ht="15" hidden="false" customHeight="false" outlineLevel="0" collapsed="false">
      <c r="A21" s="4" t="s">
        <v>96</v>
      </c>
      <c r="B21" s="5" t="s">
        <v>79</v>
      </c>
      <c r="C21" s="6" t="s">
        <v>97</v>
      </c>
      <c r="D21" s="6" t="s">
        <v>94</v>
      </c>
      <c r="E21" s="4" t="s">
        <v>53</v>
      </c>
      <c r="F21" s="7" t="s">
        <v>98</v>
      </c>
      <c r="G21" s="8" t="s">
        <v>16</v>
      </c>
      <c r="H21" s="7"/>
    </row>
    <row r="22" customFormat="false" ht="15" hidden="false" customHeight="false" outlineLevel="0" collapsed="false">
      <c r="A22" s="4" t="s">
        <v>99</v>
      </c>
      <c r="B22" s="5" t="s">
        <v>79</v>
      </c>
      <c r="C22" s="6" t="s">
        <v>100</v>
      </c>
      <c r="D22" s="7" t="s">
        <v>101</v>
      </c>
      <c r="E22" s="4" t="s">
        <v>82</v>
      </c>
      <c r="F22" s="7" t="s">
        <v>102</v>
      </c>
      <c r="G22" s="8" t="s">
        <v>16</v>
      </c>
      <c r="H22" s="7"/>
    </row>
    <row r="23" customFormat="false" ht="15" hidden="false" customHeight="false" outlineLevel="0" collapsed="false">
      <c r="A23" s="4" t="s">
        <v>103</v>
      </c>
      <c r="B23" s="5" t="s">
        <v>79</v>
      </c>
      <c r="C23" s="6" t="s">
        <v>104</v>
      </c>
      <c r="D23" s="7" t="s">
        <v>105</v>
      </c>
      <c r="E23" s="4" t="s">
        <v>65</v>
      </c>
      <c r="F23" s="7" t="s">
        <v>106</v>
      </c>
      <c r="G23" s="8" t="s">
        <v>16</v>
      </c>
      <c r="H23" s="6" t="s">
        <v>107</v>
      </c>
    </row>
    <row r="24" customFormat="false" ht="15" hidden="false" customHeight="false" outlineLevel="0" collapsed="false">
      <c r="A24" s="4" t="s">
        <v>108</v>
      </c>
      <c r="B24" s="5" t="s">
        <v>79</v>
      </c>
      <c r="C24" s="6" t="s">
        <v>109</v>
      </c>
      <c r="D24" s="7" t="s">
        <v>110</v>
      </c>
      <c r="E24" s="4" t="s">
        <v>111</v>
      </c>
      <c r="F24" s="7" t="s">
        <v>112</v>
      </c>
      <c r="G24" s="8" t="s">
        <v>16</v>
      </c>
      <c r="H24" s="6" t="s">
        <v>113</v>
      </c>
    </row>
    <row r="25" customFormat="false" ht="15" hidden="false" customHeight="false" outlineLevel="0" collapsed="false">
      <c r="A25" s="4" t="s">
        <v>114</v>
      </c>
      <c r="B25" s="5" t="s">
        <v>115</v>
      </c>
      <c r="C25" s="6" t="s">
        <v>116</v>
      </c>
      <c r="D25" s="7" t="s">
        <v>117</v>
      </c>
      <c r="E25" s="4" t="s">
        <v>21</v>
      </c>
      <c r="F25" s="6" t="s">
        <v>118</v>
      </c>
      <c r="G25" s="8" t="s">
        <v>16</v>
      </c>
      <c r="H25" s="6" t="s">
        <v>119</v>
      </c>
    </row>
    <row r="26" customFormat="false" ht="29.85" hidden="false" customHeight="false" outlineLevel="0" collapsed="false">
      <c r="A26" s="4" t="s">
        <v>120</v>
      </c>
      <c r="B26" s="5" t="s">
        <v>115</v>
      </c>
      <c r="C26" s="6" t="s">
        <v>121</v>
      </c>
      <c r="D26" s="7" t="s">
        <v>122</v>
      </c>
      <c r="E26" s="4" t="s">
        <v>21</v>
      </c>
      <c r="F26" s="6" t="s">
        <v>123</v>
      </c>
      <c r="G26" s="8" t="s">
        <v>16</v>
      </c>
      <c r="H26" s="6" t="s">
        <v>124</v>
      </c>
    </row>
    <row r="27" customFormat="false" ht="15" hidden="false" customHeight="false" outlineLevel="0" collapsed="false">
      <c r="A27" s="4" t="s">
        <v>125</v>
      </c>
      <c r="B27" s="5" t="s">
        <v>115</v>
      </c>
      <c r="C27" s="6" t="s">
        <v>126</v>
      </c>
      <c r="D27" s="7" t="s">
        <v>122</v>
      </c>
      <c r="E27" s="4" t="s">
        <v>21</v>
      </c>
      <c r="F27" s="6" t="s">
        <v>127</v>
      </c>
      <c r="G27" s="8" t="s">
        <v>16</v>
      </c>
      <c r="H27" s="7" t="s">
        <v>128</v>
      </c>
    </row>
    <row r="28" customFormat="false" ht="15" hidden="false" customHeight="false" outlineLevel="0" collapsed="false">
      <c r="A28" s="4" t="s">
        <v>129</v>
      </c>
      <c r="B28" s="5" t="s">
        <v>115</v>
      </c>
      <c r="C28" s="6" t="s">
        <v>130</v>
      </c>
      <c r="D28" s="7" t="s">
        <v>131</v>
      </c>
      <c r="E28" s="4" t="s">
        <v>132</v>
      </c>
      <c r="F28" s="6" t="s">
        <v>133</v>
      </c>
      <c r="G28" s="8" t="s">
        <v>16</v>
      </c>
      <c r="H28" s="6" t="s">
        <v>134</v>
      </c>
    </row>
    <row r="29" customFormat="false" ht="15" hidden="false" customHeight="false" outlineLevel="0" collapsed="false">
      <c r="A29" s="4" t="s">
        <v>135</v>
      </c>
      <c r="B29" s="5" t="s">
        <v>115</v>
      </c>
      <c r="C29" s="6" t="s">
        <v>136</v>
      </c>
      <c r="D29" s="7" t="s">
        <v>137</v>
      </c>
      <c r="E29" s="4" t="s">
        <v>138</v>
      </c>
      <c r="F29" s="6" t="s">
        <v>139</v>
      </c>
      <c r="G29" s="8" t="s">
        <v>16</v>
      </c>
      <c r="H29" s="6" t="s">
        <v>140</v>
      </c>
    </row>
    <row r="30" customFormat="false" ht="29.85" hidden="false" customHeight="false" outlineLevel="0" collapsed="false">
      <c r="A30" s="4" t="s">
        <v>141</v>
      </c>
      <c r="B30" s="5" t="s">
        <v>115</v>
      </c>
      <c r="C30" s="6" t="s">
        <v>142</v>
      </c>
      <c r="D30" s="6" t="s">
        <v>143</v>
      </c>
      <c r="E30" s="4" t="s">
        <v>132</v>
      </c>
      <c r="F30" s="6" t="s">
        <v>144</v>
      </c>
      <c r="G30" s="8" t="s">
        <v>16</v>
      </c>
      <c r="H30" s="6" t="s">
        <v>145</v>
      </c>
    </row>
    <row r="31" customFormat="false" ht="15" hidden="false" customHeight="false" outlineLevel="0" collapsed="false">
      <c r="A31" s="4" t="s">
        <v>146</v>
      </c>
      <c r="B31" s="5" t="s">
        <v>147</v>
      </c>
      <c r="C31" s="6" t="s">
        <v>148</v>
      </c>
      <c r="D31" s="7" t="s">
        <v>149</v>
      </c>
      <c r="E31" s="4" t="s">
        <v>41</v>
      </c>
      <c r="F31" s="6" t="s">
        <v>150</v>
      </c>
      <c r="G31" s="8" t="s">
        <v>16</v>
      </c>
      <c r="H31" s="6" t="s">
        <v>151</v>
      </c>
    </row>
    <row r="32" customFormat="false" ht="15" hidden="false" customHeight="false" outlineLevel="0" collapsed="false">
      <c r="A32" s="4" t="s">
        <v>152</v>
      </c>
      <c r="B32" s="5" t="s">
        <v>147</v>
      </c>
      <c r="C32" s="6" t="s">
        <v>153</v>
      </c>
      <c r="D32" s="7"/>
      <c r="E32" s="4" t="s">
        <v>132</v>
      </c>
      <c r="F32" s="6" t="s">
        <v>154</v>
      </c>
      <c r="G32" s="8" t="s">
        <v>16</v>
      </c>
      <c r="H32" s="7"/>
    </row>
    <row r="33" customFormat="false" ht="15" hidden="false" customHeight="false" outlineLevel="0" collapsed="false">
      <c r="A33" s="4" t="s">
        <v>155</v>
      </c>
      <c r="B33" s="5" t="s">
        <v>156</v>
      </c>
      <c r="C33" s="6" t="s">
        <v>157</v>
      </c>
      <c r="D33" s="6" t="s">
        <v>158</v>
      </c>
      <c r="E33" s="4" t="s">
        <v>41</v>
      </c>
      <c r="F33" s="6" t="s">
        <v>159</v>
      </c>
      <c r="G33" s="8" t="s">
        <v>16</v>
      </c>
      <c r="H33" s="7" t="s">
        <v>160</v>
      </c>
    </row>
    <row r="34" customFormat="false" ht="15" hidden="false" customHeight="false" outlineLevel="0" collapsed="false">
      <c r="A34" s="4" t="s">
        <v>161</v>
      </c>
      <c r="B34" s="5" t="s">
        <v>156</v>
      </c>
      <c r="C34" s="6" t="s">
        <v>162</v>
      </c>
      <c r="D34" s="6" t="s">
        <v>158</v>
      </c>
      <c r="E34" s="4" t="s">
        <v>41</v>
      </c>
      <c r="F34" s="6" t="s">
        <v>163</v>
      </c>
      <c r="G34" s="8" t="s">
        <v>16</v>
      </c>
      <c r="H34" s="7" t="s">
        <v>164</v>
      </c>
    </row>
    <row r="35" customFormat="false" ht="15" hidden="false" customHeight="false" outlineLevel="0" collapsed="false">
      <c r="A35" s="4" t="s">
        <v>165</v>
      </c>
      <c r="B35" s="5" t="s">
        <v>156</v>
      </c>
      <c r="C35" s="6" t="s">
        <v>166</v>
      </c>
      <c r="D35" s="7" t="s">
        <v>167</v>
      </c>
      <c r="E35" s="4" t="s">
        <v>41</v>
      </c>
      <c r="F35" s="7" t="s">
        <v>168</v>
      </c>
      <c r="G35" s="8" t="s">
        <v>16</v>
      </c>
      <c r="H35" s="6" t="s">
        <v>169</v>
      </c>
    </row>
    <row r="36" customFormat="false" ht="15" hidden="false" customHeight="false" outlineLevel="0" collapsed="false">
      <c r="A36" s="4" t="s">
        <v>170</v>
      </c>
      <c r="B36" s="5" t="s">
        <v>156</v>
      </c>
      <c r="C36" s="6" t="s">
        <v>171</v>
      </c>
      <c r="D36" s="6" t="s">
        <v>172</v>
      </c>
      <c r="E36" s="4" t="s">
        <v>21</v>
      </c>
      <c r="F36" s="6" t="s">
        <v>173</v>
      </c>
      <c r="G36" s="8" t="s">
        <v>16</v>
      </c>
      <c r="H36" s="6" t="s">
        <v>174</v>
      </c>
    </row>
    <row r="37" customFormat="false" ht="15" hidden="false" customHeight="false" outlineLevel="0" collapsed="false">
      <c r="A37" s="4" t="s">
        <v>175</v>
      </c>
      <c r="B37" s="5" t="s">
        <v>156</v>
      </c>
      <c r="C37" s="6" t="s">
        <v>176</v>
      </c>
      <c r="D37" s="7"/>
      <c r="E37" s="4" t="s">
        <v>132</v>
      </c>
      <c r="F37" s="7" t="s">
        <v>177</v>
      </c>
      <c r="G37" s="8" t="s">
        <v>16</v>
      </c>
      <c r="H37" s="7"/>
    </row>
    <row r="38" customFormat="false" ht="15" hidden="false" customHeight="false" outlineLevel="0" collapsed="false">
      <c r="A38" s="4" t="s">
        <v>178</v>
      </c>
      <c r="B38" s="5" t="s">
        <v>147</v>
      </c>
      <c r="C38" s="6" t="s">
        <v>179</v>
      </c>
      <c r="D38" s="7"/>
      <c r="E38" s="4" t="s">
        <v>41</v>
      </c>
      <c r="F38" s="6" t="s">
        <v>180</v>
      </c>
      <c r="G38" s="8" t="s">
        <v>16</v>
      </c>
      <c r="H38" s="6" t="s">
        <v>181</v>
      </c>
    </row>
  </sheetData>
  <autoFilter ref="A4:H38"/>
  <mergeCells count="2">
    <mergeCell ref="A1:H1"/>
    <mergeCell ref="A2:H2"/>
  </mergeCells>
  <conditionalFormatting sqref="A5:H200">
    <cfRule type="expression" priority="2" aboveAverage="0" equalAverage="0" bottom="0" percent="0" rank="0" text="" dxfId="4">
      <formula>$G5="수령"</formula>
    </cfRule>
  </conditionalFormatting>
  <dataValidations count="1">
    <dataValidation allowBlank="false" errorStyle="stop" operator="between" showDropDown="false" showErrorMessage="false" showInputMessage="false" sqref="G5:G200" type="list">
      <formula1>"미구매,주문,수령"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25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</row>
    <row r="2" customFormat="false" ht="43.5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184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185</v>
      </c>
      <c r="B5" s="5" t="s">
        <v>186</v>
      </c>
      <c r="C5" s="6" t="s">
        <v>187</v>
      </c>
      <c r="D5" s="6" t="s">
        <v>188</v>
      </c>
      <c r="E5" s="4" t="s">
        <v>21</v>
      </c>
      <c r="F5" s="6" t="s">
        <v>189</v>
      </c>
      <c r="G5" s="8" t="s">
        <v>16</v>
      </c>
      <c r="H5" s="7" t="s">
        <v>190</v>
      </c>
    </row>
    <row r="6" customFormat="false" ht="15" hidden="false" customHeight="false" outlineLevel="0" collapsed="false">
      <c r="A6" s="4" t="s">
        <v>191</v>
      </c>
      <c r="B6" s="5" t="s">
        <v>192</v>
      </c>
      <c r="C6" s="7" t="s">
        <v>193</v>
      </c>
      <c r="D6" s="7" t="s">
        <v>194</v>
      </c>
      <c r="E6" s="4" t="s">
        <v>21</v>
      </c>
      <c r="F6" s="6" t="s">
        <v>195</v>
      </c>
      <c r="G6" s="8" t="s">
        <v>16</v>
      </c>
      <c r="H6" s="6" t="s">
        <v>196</v>
      </c>
    </row>
    <row r="7" customFormat="false" ht="29.85" hidden="false" customHeight="false" outlineLevel="0" collapsed="false">
      <c r="A7" s="4" t="s">
        <v>197</v>
      </c>
      <c r="B7" s="5" t="s">
        <v>192</v>
      </c>
      <c r="C7" s="6" t="s">
        <v>198</v>
      </c>
      <c r="D7" s="6" t="s">
        <v>199</v>
      </c>
      <c r="E7" s="4" t="s">
        <v>41</v>
      </c>
      <c r="F7" s="6" t="s">
        <v>200</v>
      </c>
      <c r="G7" s="8" t="s">
        <v>16</v>
      </c>
      <c r="H7" s="6" t="s">
        <v>201</v>
      </c>
    </row>
    <row r="8" customFormat="false" ht="15" hidden="false" customHeight="false" outlineLevel="0" collapsed="false">
      <c r="A8" s="4" t="s">
        <v>202</v>
      </c>
      <c r="B8" s="5" t="s">
        <v>203</v>
      </c>
      <c r="C8" s="7" t="s">
        <v>204</v>
      </c>
      <c r="D8" s="7" t="s">
        <v>205</v>
      </c>
      <c r="E8" s="4" t="s">
        <v>41</v>
      </c>
      <c r="F8" s="6" t="s">
        <v>206</v>
      </c>
      <c r="G8" s="8" t="s">
        <v>16</v>
      </c>
      <c r="H8" s="7" t="s">
        <v>207</v>
      </c>
    </row>
    <row r="9" customFormat="false" ht="15" hidden="false" customHeight="false" outlineLevel="0" collapsed="false">
      <c r="A9" s="4" t="s">
        <v>208</v>
      </c>
      <c r="B9" s="5" t="s">
        <v>209</v>
      </c>
      <c r="C9" s="7" t="s">
        <v>210</v>
      </c>
      <c r="D9" s="7" t="s">
        <v>211</v>
      </c>
      <c r="E9" s="4" t="s">
        <v>41</v>
      </c>
      <c r="F9" s="6" t="s">
        <v>212</v>
      </c>
      <c r="G9" s="8" t="s">
        <v>16</v>
      </c>
      <c r="H9" s="6" t="s">
        <v>213</v>
      </c>
    </row>
    <row r="10" customFormat="false" ht="29.85" hidden="false" customHeight="false" outlineLevel="0" collapsed="false">
      <c r="A10" s="4" t="s">
        <v>214</v>
      </c>
      <c r="B10" s="5" t="s">
        <v>209</v>
      </c>
      <c r="C10" s="6" t="s">
        <v>215</v>
      </c>
      <c r="D10" s="7" t="s">
        <v>216</v>
      </c>
      <c r="E10" s="4" t="s">
        <v>41</v>
      </c>
      <c r="F10" s="6" t="s">
        <v>217</v>
      </c>
      <c r="G10" s="8" t="s">
        <v>16</v>
      </c>
      <c r="H10" s="7" t="s">
        <v>218</v>
      </c>
    </row>
    <row r="11" customFormat="false" ht="15" hidden="false" customHeight="false" outlineLevel="0" collapsed="false">
      <c r="A11" s="4" t="s">
        <v>219</v>
      </c>
      <c r="B11" s="5" t="s">
        <v>220</v>
      </c>
      <c r="C11" s="7" t="s">
        <v>221</v>
      </c>
      <c r="D11" s="7" t="s">
        <v>222</v>
      </c>
      <c r="E11" s="4" t="s">
        <v>41</v>
      </c>
      <c r="F11" s="6" t="s">
        <v>223</v>
      </c>
      <c r="G11" s="8" t="s">
        <v>16</v>
      </c>
      <c r="H11" s="6" t="s">
        <v>224</v>
      </c>
    </row>
    <row r="12" customFormat="false" ht="15" hidden="false" customHeight="false" outlineLevel="0" collapsed="false">
      <c r="A12" s="4" t="s">
        <v>225</v>
      </c>
      <c r="B12" s="5" t="s">
        <v>226</v>
      </c>
      <c r="C12" s="6" t="s">
        <v>227</v>
      </c>
      <c r="D12" s="7"/>
      <c r="E12" s="4" t="s">
        <v>132</v>
      </c>
      <c r="F12" s="6" t="s">
        <v>228</v>
      </c>
      <c r="G12" s="8" t="s">
        <v>16</v>
      </c>
      <c r="H12" s="6" t="s">
        <v>229</v>
      </c>
    </row>
    <row r="13" customFormat="false" ht="15" hidden="false" customHeight="false" outlineLevel="0" collapsed="false">
      <c r="A13" s="4" t="s">
        <v>230</v>
      </c>
      <c r="B13" s="5" t="s">
        <v>226</v>
      </c>
      <c r="C13" s="6" t="s">
        <v>231</v>
      </c>
      <c r="D13" s="7"/>
      <c r="E13" s="4" t="s">
        <v>41</v>
      </c>
      <c r="F13" s="6" t="s">
        <v>232</v>
      </c>
      <c r="G13" s="8" t="s">
        <v>16</v>
      </c>
      <c r="H13" s="7"/>
    </row>
    <row r="14" customFormat="false" ht="15" hidden="false" customHeight="false" outlineLevel="0" collapsed="false">
      <c r="A14" s="4" t="s">
        <v>233</v>
      </c>
      <c r="B14" s="5" t="s">
        <v>226</v>
      </c>
      <c r="C14" s="6" t="s">
        <v>234</v>
      </c>
      <c r="D14" s="7"/>
      <c r="E14" s="4" t="s">
        <v>132</v>
      </c>
      <c r="F14" s="6" t="s">
        <v>235</v>
      </c>
      <c r="G14" s="8" t="s">
        <v>16</v>
      </c>
      <c r="H14" s="7"/>
    </row>
    <row r="15" customFormat="false" ht="15" hidden="false" customHeight="false" outlineLevel="0" collapsed="false">
      <c r="A15" s="4" t="s">
        <v>236</v>
      </c>
      <c r="B15" s="5" t="s">
        <v>226</v>
      </c>
      <c r="C15" s="6" t="s">
        <v>237</v>
      </c>
      <c r="D15" s="7"/>
      <c r="E15" s="4" t="s">
        <v>41</v>
      </c>
      <c r="F15" s="6" t="s">
        <v>238</v>
      </c>
      <c r="G15" s="8" t="s">
        <v>16</v>
      </c>
      <c r="H15" s="7"/>
    </row>
    <row r="16" customFormat="false" ht="15" hidden="false" customHeight="false" outlineLevel="0" collapsed="false">
      <c r="A16" s="4" t="s">
        <v>239</v>
      </c>
      <c r="B16" s="5" t="s">
        <v>240</v>
      </c>
      <c r="C16" s="6" t="s">
        <v>241</v>
      </c>
      <c r="D16" s="7"/>
      <c r="E16" s="5" t="s">
        <v>242</v>
      </c>
      <c r="F16" s="6" t="s">
        <v>243</v>
      </c>
      <c r="G16" s="8" t="s">
        <v>16</v>
      </c>
      <c r="H16" s="7"/>
    </row>
    <row r="17" customFormat="false" ht="15" hidden="false" customHeight="false" outlineLevel="0" collapsed="false">
      <c r="A17" s="4" t="s">
        <v>244</v>
      </c>
      <c r="B17" s="5" t="s">
        <v>240</v>
      </c>
      <c r="C17" s="6" t="s">
        <v>245</v>
      </c>
      <c r="D17" s="7" t="s">
        <v>246</v>
      </c>
      <c r="E17" s="4" t="s">
        <v>41</v>
      </c>
      <c r="F17" s="7" t="s">
        <v>247</v>
      </c>
      <c r="G17" s="8" t="s">
        <v>16</v>
      </c>
      <c r="H17" s="6" t="s">
        <v>248</v>
      </c>
    </row>
    <row r="18" customFormat="false" ht="15" hidden="false" customHeight="false" outlineLevel="0" collapsed="false">
      <c r="A18" s="4" t="s">
        <v>249</v>
      </c>
      <c r="B18" s="5" t="s">
        <v>240</v>
      </c>
      <c r="C18" s="6" t="s">
        <v>250</v>
      </c>
      <c r="D18" s="7"/>
      <c r="E18" s="4" t="s">
        <v>41</v>
      </c>
      <c r="F18" s="6" t="s">
        <v>251</v>
      </c>
      <c r="G18" s="8" t="s">
        <v>16</v>
      </c>
      <c r="H18" s="6" t="s">
        <v>252</v>
      </c>
    </row>
    <row r="19" customFormat="false" ht="15" hidden="false" customHeight="false" outlineLevel="0" collapsed="false">
      <c r="A19" s="4" t="s">
        <v>253</v>
      </c>
      <c r="B19" s="5" t="s">
        <v>254</v>
      </c>
      <c r="C19" s="7" t="s">
        <v>255</v>
      </c>
      <c r="D19" s="7" t="s">
        <v>256</v>
      </c>
      <c r="E19" s="4" t="s">
        <v>41</v>
      </c>
      <c r="F19" s="6" t="s">
        <v>257</v>
      </c>
      <c r="G19" s="8" t="s">
        <v>16</v>
      </c>
      <c r="H19" s="7"/>
    </row>
    <row r="20" customFormat="false" ht="15" hidden="false" customHeight="false" outlineLevel="0" collapsed="false">
      <c r="A20" s="4" t="s">
        <v>258</v>
      </c>
      <c r="B20" s="5" t="s">
        <v>254</v>
      </c>
      <c r="C20" s="6" t="s">
        <v>259</v>
      </c>
      <c r="D20" s="7" t="s">
        <v>260</v>
      </c>
      <c r="E20" s="4" t="s">
        <v>53</v>
      </c>
      <c r="F20" s="7" t="s">
        <v>261</v>
      </c>
      <c r="G20" s="8" t="s">
        <v>16</v>
      </c>
      <c r="H20" s="6" t="s">
        <v>262</v>
      </c>
    </row>
    <row r="21" customFormat="false" ht="15" hidden="false" customHeight="false" outlineLevel="0" collapsed="false">
      <c r="A21" s="4" t="s">
        <v>263</v>
      </c>
      <c r="B21" s="5" t="s">
        <v>240</v>
      </c>
      <c r="C21" s="7" t="s">
        <v>264</v>
      </c>
      <c r="D21" s="7"/>
      <c r="E21" s="4" t="s">
        <v>41</v>
      </c>
      <c r="F21" s="7" t="s">
        <v>265</v>
      </c>
      <c r="G21" s="8" t="s">
        <v>16</v>
      </c>
      <c r="H21" s="6" t="s">
        <v>266</v>
      </c>
    </row>
  </sheetData>
  <autoFilter ref="A4:H21"/>
  <mergeCells count="2">
    <mergeCell ref="A1:H1"/>
    <mergeCell ref="A2:H2"/>
  </mergeCells>
  <conditionalFormatting sqref="A5:H200">
    <cfRule type="expression" priority="2" aboveAverage="0" equalAverage="0" bottom="0" percent="0" rank="0" text="" dxfId="4">
      <formula>$G5="수령"</formula>
    </cfRule>
  </conditionalFormatting>
  <dataValidations count="1">
    <dataValidation allowBlank="false" errorStyle="stop" operator="between" showDropDown="false" showErrorMessage="false" showInputMessage="false" sqref="G5:G200" type="list">
      <formula1>"미구매,주문,수령"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64"/>
  </cols>
  <sheetData>
    <row r="1" customFormat="false" ht="25.5" hidden="false" customHeight="true" outlineLevel="0" collapsed="false">
      <c r="A1" s="1" t="s">
        <v>267</v>
      </c>
      <c r="B1" s="1"/>
      <c r="C1" s="1"/>
      <c r="D1" s="1"/>
      <c r="E1" s="1"/>
    </row>
    <row r="2" customFormat="false" ht="43.5" hidden="false" customHeight="true" outlineLevel="0" collapsed="false">
      <c r="A2" s="2" t="s">
        <v>268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7</v>
      </c>
      <c r="D4" s="3" t="s">
        <v>270</v>
      </c>
      <c r="E4" s="3" t="s">
        <v>271</v>
      </c>
    </row>
    <row r="5" customFormat="false" ht="15" hidden="false" customHeight="false" outlineLevel="0" collapsed="false">
      <c r="A5" s="4" t="s">
        <v>272</v>
      </c>
      <c r="B5" s="6" t="s">
        <v>273</v>
      </c>
      <c r="C5" s="6" t="s">
        <v>274</v>
      </c>
      <c r="D5" s="5" t="s">
        <v>275</v>
      </c>
      <c r="E5" s="6" t="s">
        <v>276</v>
      </c>
    </row>
    <row r="6" customFormat="false" ht="15" hidden="false" customHeight="false" outlineLevel="0" collapsed="false">
      <c r="A6" s="4" t="s">
        <v>277</v>
      </c>
      <c r="B6" s="7" t="s">
        <v>278</v>
      </c>
      <c r="C6" s="6" t="s">
        <v>279</v>
      </c>
      <c r="D6" s="5" t="s">
        <v>275</v>
      </c>
      <c r="E6" s="6" t="s">
        <v>280</v>
      </c>
    </row>
    <row r="7" customFormat="false" ht="15" hidden="false" customHeight="false" outlineLevel="0" collapsed="false">
      <c r="A7" s="4" t="s">
        <v>281</v>
      </c>
      <c r="B7" s="7" t="s">
        <v>282</v>
      </c>
      <c r="C7" s="6" t="s">
        <v>283</v>
      </c>
      <c r="D7" s="5" t="s">
        <v>275</v>
      </c>
      <c r="E7" s="7"/>
    </row>
    <row r="8" customFormat="false" ht="15" hidden="false" customHeight="false" outlineLevel="0" collapsed="false">
      <c r="A8" s="4" t="s">
        <v>284</v>
      </c>
      <c r="B8" s="7" t="s">
        <v>285</v>
      </c>
      <c r="C8" s="7" t="s">
        <v>286</v>
      </c>
      <c r="D8" s="5" t="s">
        <v>275</v>
      </c>
      <c r="E8" s="7" t="s">
        <v>287</v>
      </c>
    </row>
    <row r="9" customFormat="false" ht="29.85" hidden="false" customHeight="false" outlineLevel="0" collapsed="false">
      <c r="A9" s="4" t="s">
        <v>288</v>
      </c>
      <c r="B9" s="6" t="s">
        <v>289</v>
      </c>
      <c r="C9" s="6" t="s">
        <v>290</v>
      </c>
      <c r="D9" s="5" t="s">
        <v>275</v>
      </c>
      <c r="E9" s="6" t="s">
        <v>291</v>
      </c>
    </row>
    <row r="10" customFormat="false" ht="29.85" hidden="false" customHeight="false" outlineLevel="0" collapsed="false">
      <c r="A10" s="4" t="s">
        <v>292</v>
      </c>
      <c r="B10" s="6" t="s">
        <v>293</v>
      </c>
      <c r="C10" s="7" t="s">
        <v>294</v>
      </c>
      <c r="D10" s="5" t="s">
        <v>275</v>
      </c>
      <c r="E10" s="6" t="s">
        <v>295</v>
      </c>
    </row>
  </sheetData>
  <autoFilter ref="A4:E10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8" min="7" style="0" width="40"/>
  </cols>
  <sheetData>
    <row r="1" customFormat="false" ht="25.5" hidden="false" customHeight="true" outlineLevel="0" collapsed="false">
      <c r="A1" s="1" t="s">
        <v>296</v>
      </c>
      <c r="B1" s="1"/>
      <c r="C1" s="1"/>
      <c r="D1" s="1"/>
      <c r="E1" s="1"/>
      <c r="F1" s="1"/>
      <c r="G1" s="1"/>
      <c r="H1" s="1"/>
    </row>
    <row r="2" customFormat="false" ht="43.5" hidden="false" customHeight="true" outlineLevel="0" collapsed="false">
      <c r="A2" s="2" t="s">
        <v>297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298</v>
      </c>
      <c r="C4" s="3" t="s">
        <v>299</v>
      </c>
      <c r="D4" s="3" t="s">
        <v>300</v>
      </c>
      <c r="E4" s="3" t="s">
        <v>301</v>
      </c>
      <c r="F4" s="3" t="s">
        <v>302</v>
      </c>
      <c r="G4" s="3" t="s">
        <v>303</v>
      </c>
      <c r="H4" s="3" t="s">
        <v>9</v>
      </c>
    </row>
    <row r="5" customFormat="false" ht="26.85" hidden="false" customHeight="false" outlineLevel="0" collapsed="false">
      <c r="A5" s="4" t="n">
        <v>1</v>
      </c>
      <c r="B5" s="4" t="s">
        <v>304</v>
      </c>
      <c r="C5" s="6" t="s">
        <v>305</v>
      </c>
      <c r="D5" s="6" t="s">
        <v>306</v>
      </c>
      <c r="E5" s="7" t="s">
        <v>307</v>
      </c>
      <c r="F5" s="7" t="s">
        <v>308</v>
      </c>
      <c r="G5" s="7" t="s">
        <v>309</v>
      </c>
      <c r="H5" s="7"/>
    </row>
    <row r="6" customFormat="false" ht="15" hidden="false" customHeight="false" outlineLevel="0" collapsed="false">
      <c r="A6" s="4" t="n">
        <v>2</v>
      </c>
      <c r="B6" s="4" t="s">
        <v>310</v>
      </c>
      <c r="C6" s="6" t="s">
        <v>311</v>
      </c>
      <c r="D6" s="6" t="s">
        <v>312</v>
      </c>
      <c r="E6" s="7" t="s">
        <v>313</v>
      </c>
      <c r="F6" s="7" t="s">
        <v>314</v>
      </c>
      <c r="G6" s="7" t="s">
        <v>315</v>
      </c>
      <c r="H6" s="6" t="s">
        <v>107</v>
      </c>
    </row>
    <row r="7" customFormat="false" ht="15" hidden="false" customHeight="false" outlineLevel="0" collapsed="false">
      <c r="A7" s="4" t="n">
        <v>3</v>
      </c>
      <c r="B7" s="4" t="s">
        <v>316</v>
      </c>
      <c r="C7" s="6" t="s">
        <v>317</v>
      </c>
      <c r="D7" s="6" t="s">
        <v>318</v>
      </c>
      <c r="E7" s="7" t="s">
        <v>319</v>
      </c>
      <c r="F7" s="7" t="s">
        <v>320</v>
      </c>
      <c r="G7" s="7" t="s">
        <v>321</v>
      </c>
      <c r="H7" s="7"/>
    </row>
    <row r="8" customFormat="false" ht="15" hidden="false" customHeight="false" outlineLevel="0" collapsed="false">
      <c r="A8" s="4" t="n">
        <v>4</v>
      </c>
      <c r="B8" s="4" t="s">
        <v>322</v>
      </c>
      <c r="C8" s="6" t="s">
        <v>323</v>
      </c>
      <c r="D8" s="6" t="s">
        <v>324</v>
      </c>
      <c r="E8" s="7" t="s">
        <v>325</v>
      </c>
      <c r="F8" s="7" t="s">
        <v>326</v>
      </c>
      <c r="G8" s="7" t="s">
        <v>327</v>
      </c>
      <c r="H8" s="7"/>
    </row>
    <row r="9" customFormat="false" ht="15" hidden="false" customHeight="false" outlineLevel="0" collapsed="false">
      <c r="A9" s="4" t="n">
        <v>5</v>
      </c>
      <c r="B9" s="4" t="s">
        <v>328</v>
      </c>
      <c r="C9" s="6" t="s">
        <v>323</v>
      </c>
      <c r="D9" s="6" t="s">
        <v>324</v>
      </c>
      <c r="E9" s="7" t="s">
        <v>329</v>
      </c>
      <c r="F9" s="7" t="s">
        <v>330</v>
      </c>
      <c r="G9" s="7" t="s">
        <v>331</v>
      </c>
      <c r="H9" s="7"/>
    </row>
    <row r="10" customFormat="false" ht="15" hidden="false" customHeight="false" outlineLevel="0" collapsed="false">
      <c r="A10" s="4" t="n">
        <v>6</v>
      </c>
      <c r="B10" s="4" t="s">
        <v>332</v>
      </c>
      <c r="C10" s="6" t="s">
        <v>311</v>
      </c>
      <c r="D10" s="6" t="s">
        <v>333</v>
      </c>
      <c r="E10" s="7" t="s">
        <v>334</v>
      </c>
      <c r="F10" s="7" t="s">
        <v>335</v>
      </c>
      <c r="G10" s="7" t="s">
        <v>331</v>
      </c>
      <c r="H10" s="7"/>
    </row>
    <row r="11" customFormat="false" ht="15" hidden="false" customHeight="false" outlineLevel="0" collapsed="false">
      <c r="A11" s="4" t="n">
        <v>7</v>
      </c>
      <c r="B11" s="4" t="s">
        <v>336</v>
      </c>
      <c r="C11" s="6" t="s">
        <v>311</v>
      </c>
      <c r="D11" s="6" t="s">
        <v>337</v>
      </c>
      <c r="E11" s="7" t="s">
        <v>338</v>
      </c>
      <c r="F11" s="7" t="s">
        <v>339</v>
      </c>
      <c r="G11" s="7" t="s">
        <v>340</v>
      </c>
      <c r="H11" s="6" t="s">
        <v>341</v>
      </c>
    </row>
    <row r="12" customFormat="false" ht="15" hidden="false" customHeight="false" outlineLevel="0" collapsed="false">
      <c r="A12" s="4" t="n">
        <v>8</v>
      </c>
      <c r="B12" s="4" t="s">
        <v>342</v>
      </c>
      <c r="C12" s="6" t="s">
        <v>311</v>
      </c>
      <c r="D12" s="6" t="s">
        <v>343</v>
      </c>
      <c r="E12" s="7" t="s">
        <v>338</v>
      </c>
      <c r="F12" s="7" t="s">
        <v>344</v>
      </c>
      <c r="G12" s="7" t="s">
        <v>345</v>
      </c>
      <c r="H12" s="6" t="s">
        <v>346</v>
      </c>
    </row>
    <row r="13" customFormat="false" ht="15" hidden="false" customHeight="false" outlineLevel="0" collapsed="false">
      <c r="A13" s="4" t="n">
        <v>9</v>
      </c>
      <c r="B13" s="4" t="s">
        <v>347</v>
      </c>
      <c r="C13" s="6" t="s">
        <v>305</v>
      </c>
      <c r="D13" s="6" t="s">
        <v>348</v>
      </c>
      <c r="E13" s="6" t="s">
        <v>349</v>
      </c>
      <c r="F13" s="7" t="s">
        <v>350</v>
      </c>
      <c r="G13" s="7" t="s">
        <v>351</v>
      </c>
      <c r="H13" s="7"/>
    </row>
    <row r="14" customFormat="false" ht="15" hidden="false" customHeight="false" outlineLevel="0" collapsed="false">
      <c r="A14" s="4" t="n">
        <v>10</v>
      </c>
      <c r="B14" s="4" t="s">
        <v>352</v>
      </c>
      <c r="C14" s="6" t="s">
        <v>305</v>
      </c>
      <c r="D14" s="7" t="s">
        <v>353</v>
      </c>
      <c r="E14" s="7" t="s">
        <v>354</v>
      </c>
      <c r="F14" s="7" t="s">
        <v>355</v>
      </c>
      <c r="G14" s="7" t="s">
        <v>356</v>
      </c>
      <c r="H14" s="6" t="s">
        <v>357</v>
      </c>
    </row>
    <row r="15" customFormat="false" ht="15" hidden="false" customHeight="false" outlineLevel="0" collapsed="false">
      <c r="A15" s="4" t="n">
        <v>11</v>
      </c>
      <c r="B15" s="4" t="s">
        <v>358</v>
      </c>
      <c r="C15" s="6" t="s">
        <v>323</v>
      </c>
      <c r="D15" s="6" t="s">
        <v>359</v>
      </c>
      <c r="E15" s="7" t="s">
        <v>329</v>
      </c>
      <c r="F15" s="7" t="s">
        <v>360</v>
      </c>
      <c r="G15" s="7" t="s">
        <v>361</v>
      </c>
      <c r="H15" s="7"/>
    </row>
    <row r="16" customFormat="false" ht="15" hidden="false" customHeight="false" outlineLevel="0" collapsed="false">
      <c r="A16" s="4" t="n">
        <v>12</v>
      </c>
      <c r="B16" s="4" t="s">
        <v>362</v>
      </c>
      <c r="C16" s="6" t="s">
        <v>323</v>
      </c>
      <c r="D16" s="6" t="s">
        <v>359</v>
      </c>
      <c r="E16" s="7" t="s">
        <v>363</v>
      </c>
      <c r="F16" s="7" t="s">
        <v>364</v>
      </c>
      <c r="G16" s="7" t="s">
        <v>365</v>
      </c>
      <c r="H16" s="7"/>
    </row>
    <row r="17" customFormat="false" ht="15" hidden="false" customHeight="false" outlineLevel="0" collapsed="false">
      <c r="A17" s="4" t="n">
        <v>13</v>
      </c>
      <c r="B17" s="4" t="s">
        <v>366</v>
      </c>
      <c r="C17" s="6" t="s">
        <v>311</v>
      </c>
      <c r="D17" s="6" t="s">
        <v>333</v>
      </c>
      <c r="E17" s="7" t="s">
        <v>334</v>
      </c>
      <c r="F17" s="7" t="s">
        <v>367</v>
      </c>
      <c r="G17" s="7" t="s">
        <v>365</v>
      </c>
      <c r="H17" s="7"/>
    </row>
    <row r="18" customFormat="false" ht="15" hidden="false" customHeight="false" outlineLevel="0" collapsed="false">
      <c r="A18" s="4" t="n">
        <v>14</v>
      </c>
      <c r="B18" s="4" t="s">
        <v>368</v>
      </c>
      <c r="C18" s="6" t="s">
        <v>311</v>
      </c>
      <c r="D18" s="6" t="s">
        <v>337</v>
      </c>
      <c r="E18" s="7" t="s">
        <v>338</v>
      </c>
      <c r="F18" s="7" t="s">
        <v>369</v>
      </c>
      <c r="G18" s="7" t="s">
        <v>370</v>
      </c>
      <c r="H18" s="6" t="s">
        <v>371</v>
      </c>
    </row>
    <row r="19" customFormat="false" ht="15" hidden="false" customHeight="false" outlineLevel="0" collapsed="false">
      <c r="A19" s="4" t="n">
        <v>15</v>
      </c>
      <c r="B19" s="4" t="s">
        <v>372</v>
      </c>
      <c r="C19" s="6" t="s">
        <v>311</v>
      </c>
      <c r="D19" s="6" t="s">
        <v>343</v>
      </c>
      <c r="E19" s="7" t="s">
        <v>338</v>
      </c>
      <c r="F19" s="7" t="s">
        <v>373</v>
      </c>
      <c r="G19" s="7" t="s">
        <v>374</v>
      </c>
      <c r="H19" s="6" t="s">
        <v>371</v>
      </c>
    </row>
    <row r="20" customFormat="false" ht="15" hidden="false" customHeight="false" outlineLevel="0" collapsed="false">
      <c r="A20" s="4" t="n">
        <v>16</v>
      </c>
      <c r="B20" s="4" t="s">
        <v>375</v>
      </c>
      <c r="C20" s="6" t="s">
        <v>305</v>
      </c>
      <c r="D20" s="6" t="s">
        <v>376</v>
      </c>
      <c r="E20" s="6" t="s">
        <v>349</v>
      </c>
      <c r="F20" s="7" t="s">
        <v>377</v>
      </c>
      <c r="G20" s="7" t="s">
        <v>378</v>
      </c>
      <c r="H20" s="7"/>
    </row>
    <row r="21" customFormat="false" ht="15" hidden="false" customHeight="false" outlineLevel="0" collapsed="false">
      <c r="A21" s="4" t="n">
        <v>17</v>
      </c>
      <c r="B21" s="4" t="s">
        <v>379</v>
      </c>
      <c r="C21" s="6" t="s">
        <v>323</v>
      </c>
      <c r="D21" s="7" t="s">
        <v>380</v>
      </c>
      <c r="E21" s="7" t="s">
        <v>329</v>
      </c>
      <c r="F21" s="7" t="s">
        <v>381</v>
      </c>
      <c r="G21" s="7" t="s">
        <v>382</v>
      </c>
      <c r="H21" s="7"/>
    </row>
    <row r="22" customFormat="false" ht="15" hidden="false" customHeight="false" outlineLevel="0" collapsed="false">
      <c r="A22" s="4" t="n">
        <v>18</v>
      </c>
      <c r="B22" s="4" t="s">
        <v>383</v>
      </c>
      <c r="C22" s="6" t="s">
        <v>317</v>
      </c>
      <c r="D22" s="6" t="s">
        <v>384</v>
      </c>
      <c r="E22" s="7" t="s">
        <v>319</v>
      </c>
      <c r="F22" s="7" t="s">
        <v>385</v>
      </c>
      <c r="G22" s="7" t="s">
        <v>386</v>
      </c>
      <c r="H22" s="6" t="s">
        <v>387</v>
      </c>
    </row>
    <row r="23" customFormat="false" ht="15" hidden="false" customHeight="false" outlineLevel="0" collapsed="false">
      <c r="A23" s="4" t="n">
        <v>19</v>
      </c>
      <c r="B23" s="4" t="s">
        <v>388</v>
      </c>
      <c r="C23" s="6" t="s">
        <v>311</v>
      </c>
      <c r="D23" s="6" t="s">
        <v>333</v>
      </c>
      <c r="E23" s="7" t="s">
        <v>334</v>
      </c>
      <c r="F23" s="7" t="s">
        <v>389</v>
      </c>
      <c r="G23" s="7" t="s">
        <v>390</v>
      </c>
      <c r="H23" s="7"/>
    </row>
    <row r="24" customFormat="false" ht="15" hidden="false" customHeight="false" outlineLevel="0" collapsed="false">
      <c r="A24" s="4" t="n">
        <v>20</v>
      </c>
      <c r="B24" s="4" t="s">
        <v>391</v>
      </c>
      <c r="C24" s="6" t="s">
        <v>311</v>
      </c>
      <c r="D24" s="6" t="s">
        <v>337</v>
      </c>
      <c r="E24" s="7" t="s">
        <v>338</v>
      </c>
      <c r="F24" s="7" t="s">
        <v>392</v>
      </c>
      <c r="G24" s="7" t="s">
        <v>393</v>
      </c>
      <c r="H24" s="6" t="s">
        <v>371</v>
      </c>
    </row>
    <row r="25" customFormat="false" ht="15" hidden="false" customHeight="false" outlineLevel="0" collapsed="false">
      <c r="A25" s="4" t="n">
        <v>21</v>
      </c>
      <c r="B25" s="4" t="s">
        <v>394</v>
      </c>
      <c r="C25" s="6" t="s">
        <v>311</v>
      </c>
      <c r="D25" s="6" t="s">
        <v>343</v>
      </c>
      <c r="E25" s="7" t="s">
        <v>338</v>
      </c>
      <c r="F25" s="7" t="s">
        <v>395</v>
      </c>
      <c r="G25" s="7" t="s">
        <v>396</v>
      </c>
      <c r="H25" s="6" t="s">
        <v>371</v>
      </c>
    </row>
    <row r="26" customFormat="false" ht="15" hidden="false" customHeight="false" outlineLevel="0" collapsed="false">
      <c r="A26" s="4" t="n">
        <v>22</v>
      </c>
      <c r="B26" s="4" t="s">
        <v>397</v>
      </c>
      <c r="C26" s="6" t="s">
        <v>305</v>
      </c>
      <c r="D26" s="6" t="s">
        <v>398</v>
      </c>
      <c r="E26" s="6" t="s">
        <v>349</v>
      </c>
      <c r="F26" s="7" t="s">
        <v>399</v>
      </c>
      <c r="G26" s="7" t="s">
        <v>400</v>
      </c>
      <c r="H26" s="7"/>
    </row>
    <row r="27" customFormat="false" ht="15" hidden="false" customHeight="false" outlineLevel="0" collapsed="false">
      <c r="A27" s="4" t="n">
        <v>23</v>
      </c>
      <c r="B27" s="4" t="s">
        <v>401</v>
      </c>
      <c r="C27" s="6" t="s">
        <v>317</v>
      </c>
      <c r="D27" s="6" t="s">
        <v>402</v>
      </c>
      <c r="E27" s="7" t="s">
        <v>319</v>
      </c>
      <c r="F27" s="7" t="s">
        <v>403</v>
      </c>
      <c r="G27" s="7" t="s">
        <v>404</v>
      </c>
      <c r="H27" s="7" t="s">
        <v>405</v>
      </c>
    </row>
    <row r="28" customFormat="false" ht="15" hidden="false" customHeight="false" outlineLevel="0" collapsed="false">
      <c r="A28" s="4" t="n">
        <v>24</v>
      </c>
      <c r="B28" s="4" t="s">
        <v>406</v>
      </c>
      <c r="C28" s="6" t="s">
        <v>317</v>
      </c>
      <c r="D28" s="6" t="s">
        <v>407</v>
      </c>
      <c r="E28" s="7" t="s">
        <v>319</v>
      </c>
      <c r="F28" s="6" t="s">
        <v>408</v>
      </c>
      <c r="G28" s="6" t="s">
        <v>409</v>
      </c>
      <c r="H28" s="6" t="s">
        <v>410</v>
      </c>
    </row>
    <row r="29" customFormat="false" ht="15" hidden="false" customHeight="false" outlineLevel="0" collapsed="false">
      <c r="A29" s="4" t="n">
        <v>25</v>
      </c>
      <c r="B29" s="4" t="s">
        <v>411</v>
      </c>
      <c r="C29" s="6" t="s">
        <v>311</v>
      </c>
      <c r="D29" s="6" t="s">
        <v>412</v>
      </c>
      <c r="E29" s="7" t="s">
        <v>70</v>
      </c>
      <c r="F29" s="7" t="s">
        <v>413</v>
      </c>
      <c r="G29" s="7" t="s">
        <v>414</v>
      </c>
      <c r="H29" s="6" t="s">
        <v>415</v>
      </c>
    </row>
    <row r="30" customFormat="false" ht="29.85" hidden="false" customHeight="false" outlineLevel="0" collapsed="false">
      <c r="A30" s="4" t="n">
        <v>26</v>
      </c>
      <c r="B30" s="4" t="s">
        <v>416</v>
      </c>
      <c r="C30" s="6" t="s">
        <v>323</v>
      </c>
      <c r="D30" s="7" t="s">
        <v>417</v>
      </c>
      <c r="E30" s="7" t="s">
        <v>418</v>
      </c>
      <c r="F30" s="7" t="s">
        <v>419</v>
      </c>
      <c r="G30" s="7" t="s">
        <v>420</v>
      </c>
      <c r="H30" s="6" t="s">
        <v>421</v>
      </c>
    </row>
    <row r="31" customFormat="false" ht="15" hidden="false" customHeight="false" outlineLevel="0" collapsed="false">
      <c r="A31" s="4" t="n">
        <v>27</v>
      </c>
      <c r="B31" s="4" t="s">
        <v>422</v>
      </c>
      <c r="C31" s="6" t="s">
        <v>323</v>
      </c>
      <c r="D31" s="6" t="s">
        <v>423</v>
      </c>
      <c r="E31" s="7" t="s">
        <v>424</v>
      </c>
      <c r="F31" s="7" t="s">
        <v>425</v>
      </c>
      <c r="G31" s="7" t="s">
        <v>426</v>
      </c>
      <c r="H31" s="7"/>
    </row>
    <row r="32" customFormat="false" ht="15" hidden="false" customHeight="false" outlineLevel="0" collapsed="false">
      <c r="A32" s="4" t="n">
        <v>28</v>
      </c>
      <c r="B32" s="4" t="s">
        <v>427</v>
      </c>
      <c r="C32" s="6" t="s">
        <v>323</v>
      </c>
      <c r="D32" s="6" t="s">
        <v>428</v>
      </c>
      <c r="E32" s="7" t="s">
        <v>429</v>
      </c>
      <c r="F32" s="7" t="s">
        <v>430</v>
      </c>
      <c r="G32" s="7" t="s">
        <v>431</v>
      </c>
      <c r="H32" s="7"/>
    </row>
    <row r="33" customFormat="false" ht="15" hidden="false" customHeight="false" outlineLevel="0" collapsed="false">
      <c r="A33" s="4" t="n">
        <v>29</v>
      </c>
      <c r="B33" s="4" t="s">
        <v>432</v>
      </c>
      <c r="C33" s="6" t="s">
        <v>305</v>
      </c>
      <c r="D33" s="6" t="s">
        <v>433</v>
      </c>
      <c r="E33" s="6" t="s">
        <v>349</v>
      </c>
      <c r="F33" s="7" t="s">
        <v>434</v>
      </c>
      <c r="G33" s="7" t="s">
        <v>435</v>
      </c>
      <c r="H33" s="7"/>
    </row>
    <row r="34" customFormat="false" ht="15" hidden="false" customHeight="false" outlineLevel="0" collapsed="false">
      <c r="A34" s="4" t="n">
        <v>30</v>
      </c>
      <c r="B34" s="4" t="s">
        <v>436</v>
      </c>
      <c r="C34" s="6" t="s">
        <v>311</v>
      </c>
      <c r="D34" s="7" t="s">
        <v>437</v>
      </c>
      <c r="E34" s="7" t="s">
        <v>438</v>
      </c>
      <c r="F34" s="7" t="s">
        <v>439</v>
      </c>
      <c r="G34" s="7" t="s">
        <v>440</v>
      </c>
      <c r="H34" s="7"/>
    </row>
    <row r="35" customFormat="false" ht="15" hidden="false" customHeight="false" outlineLevel="0" collapsed="false">
      <c r="A35" s="4" t="n">
        <v>31</v>
      </c>
      <c r="B35" s="4" t="s">
        <v>441</v>
      </c>
      <c r="C35" s="6" t="s">
        <v>311</v>
      </c>
      <c r="D35" s="6" t="s">
        <v>442</v>
      </c>
      <c r="E35" s="7" t="s">
        <v>443</v>
      </c>
      <c r="F35" s="7" t="s">
        <v>444</v>
      </c>
      <c r="G35" s="7" t="s">
        <v>445</v>
      </c>
      <c r="H35" s="6" t="s">
        <v>446</v>
      </c>
    </row>
    <row r="36" customFormat="false" ht="15" hidden="false" customHeight="false" outlineLevel="0" collapsed="false">
      <c r="A36" s="4" t="n">
        <v>32</v>
      </c>
      <c r="B36" s="4" t="s">
        <v>447</v>
      </c>
      <c r="C36" s="6" t="s">
        <v>305</v>
      </c>
      <c r="D36" s="6" t="s">
        <v>448</v>
      </c>
      <c r="E36" s="6" t="s">
        <v>349</v>
      </c>
      <c r="F36" s="7" t="s">
        <v>449</v>
      </c>
      <c r="G36" s="7" t="s">
        <v>450</v>
      </c>
      <c r="H36" s="7"/>
    </row>
    <row r="37" customFormat="false" ht="15" hidden="false" customHeight="false" outlineLevel="0" collapsed="false">
      <c r="A37" s="4" t="n">
        <v>33</v>
      </c>
      <c r="B37" s="4" t="s">
        <v>451</v>
      </c>
      <c r="C37" s="6" t="s">
        <v>311</v>
      </c>
      <c r="D37" s="7" t="s">
        <v>437</v>
      </c>
      <c r="E37" s="7" t="s">
        <v>438</v>
      </c>
      <c r="F37" s="7" t="s">
        <v>452</v>
      </c>
      <c r="G37" s="7" t="s">
        <v>453</v>
      </c>
      <c r="H37" s="7"/>
    </row>
    <row r="38" customFormat="false" ht="15" hidden="false" customHeight="false" outlineLevel="0" collapsed="false">
      <c r="A38" s="4" t="n">
        <v>34</v>
      </c>
      <c r="B38" s="4" t="s">
        <v>454</v>
      </c>
      <c r="C38" s="6" t="s">
        <v>311</v>
      </c>
      <c r="D38" s="6" t="s">
        <v>455</v>
      </c>
      <c r="E38" s="7" t="s">
        <v>443</v>
      </c>
      <c r="F38" s="7" t="s">
        <v>456</v>
      </c>
      <c r="G38" s="7" t="s">
        <v>457</v>
      </c>
      <c r="H38" s="6" t="s">
        <v>446</v>
      </c>
    </row>
    <row r="39" customFormat="false" ht="15" hidden="false" customHeight="false" outlineLevel="0" collapsed="false">
      <c r="A39" s="4" t="n">
        <v>35</v>
      </c>
      <c r="B39" s="4" t="s">
        <v>458</v>
      </c>
      <c r="C39" s="6" t="s">
        <v>305</v>
      </c>
      <c r="D39" s="6" t="s">
        <v>459</v>
      </c>
      <c r="E39" s="6" t="s">
        <v>349</v>
      </c>
      <c r="F39" s="7" t="s">
        <v>460</v>
      </c>
      <c r="G39" s="7" t="s">
        <v>461</v>
      </c>
      <c r="H39" s="7"/>
    </row>
  </sheetData>
  <autoFilter ref="A4:H3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2"/>
    <col collapsed="false" customWidth="true" hidden="false" outlineLevel="0" max="6" min="6" style="0" width="26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462</v>
      </c>
      <c r="B1" s="1"/>
      <c r="C1" s="1"/>
      <c r="D1" s="1"/>
      <c r="E1" s="1"/>
      <c r="F1" s="1"/>
      <c r="G1" s="1"/>
    </row>
    <row r="2" customFormat="false" ht="43.5" hidden="false" customHeight="true" outlineLevel="0" collapsed="false">
      <c r="A2" s="2" t="s">
        <v>463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303</v>
      </c>
      <c r="C4" s="3" t="s">
        <v>464</v>
      </c>
      <c r="D4" s="3" t="s">
        <v>465</v>
      </c>
      <c r="E4" s="3" t="s">
        <v>466</v>
      </c>
      <c r="F4" s="3" t="s">
        <v>467</v>
      </c>
      <c r="G4" s="3" t="s">
        <v>300</v>
      </c>
    </row>
    <row r="5" customFormat="false" ht="15" hidden="false" customHeight="false" outlineLevel="0" collapsed="false">
      <c r="A5" s="4" t="n">
        <v>1</v>
      </c>
      <c r="B5" s="4" t="s">
        <v>468</v>
      </c>
      <c r="C5" s="6" t="s">
        <v>469</v>
      </c>
      <c r="D5" s="6" t="s">
        <v>470</v>
      </c>
      <c r="E5" s="6" t="s">
        <v>471</v>
      </c>
      <c r="F5" s="7"/>
      <c r="G5" s="7" t="s">
        <v>472</v>
      </c>
    </row>
    <row r="6" customFormat="false" ht="15" hidden="false" customHeight="false" outlineLevel="0" collapsed="false">
      <c r="A6" s="4" t="n">
        <v>2</v>
      </c>
      <c r="B6" s="4" t="s">
        <v>468</v>
      </c>
      <c r="C6" s="6" t="s">
        <v>473</v>
      </c>
      <c r="D6" s="6" t="s">
        <v>471</v>
      </c>
      <c r="E6" s="6" t="s">
        <v>474</v>
      </c>
      <c r="F6" s="7"/>
      <c r="G6" s="7" t="s">
        <v>475</v>
      </c>
    </row>
    <row r="7" customFormat="false" ht="15" hidden="false" customHeight="false" outlineLevel="0" collapsed="false">
      <c r="A7" s="4" t="n">
        <v>3</v>
      </c>
      <c r="B7" s="4" t="s">
        <v>468</v>
      </c>
      <c r="C7" s="6" t="s">
        <v>473</v>
      </c>
      <c r="D7" s="6" t="s">
        <v>474</v>
      </c>
      <c r="E7" s="6" t="s">
        <v>476</v>
      </c>
      <c r="F7" s="7"/>
      <c r="G7" s="7" t="s">
        <v>475</v>
      </c>
    </row>
    <row r="8" customFormat="false" ht="15" hidden="false" customHeight="false" outlineLevel="0" collapsed="false">
      <c r="A8" s="4" t="n">
        <v>4</v>
      </c>
      <c r="B8" s="4" t="s">
        <v>468</v>
      </c>
      <c r="C8" s="6" t="s">
        <v>473</v>
      </c>
      <c r="D8" s="6" t="s">
        <v>476</v>
      </c>
      <c r="E8" s="6" t="s">
        <v>477</v>
      </c>
      <c r="F8" s="7"/>
      <c r="G8" s="7" t="s">
        <v>475</v>
      </c>
    </row>
    <row r="9" customFormat="false" ht="15" hidden="false" customHeight="false" outlineLevel="0" collapsed="false">
      <c r="A9" s="4" t="n">
        <v>5</v>
      </c>
      <c r="B9" s="4" t="s">
        <v>468</v>
      </c>
      <c r="C9" s="6" t="s">
        <v>469</v>
      </c>
      <c r="D9" s="6" t="s">
        <v>478</v>
      </c>
      <c r="E9" s="6" t="s">
        <v>474</v>
      </c>
      <c r="F9" s="7"/>
      <c r="G9" s="6" t="s">
        <v>479</v>
      </c>
    </row>
    <row r="10" customFormat="false" ht="15" hidden="false" customHeight="false" outlineLevel="0" collapsed="false">
      <c r="A10" s="4" t="n">
        <v>6</v>
      </c>
      <c r="B10" s="4" t="s">
        <v>468</v>
      </c>
      <c r="C10" s="6" t="s">
        <v>469</v>
      </c>
      <c r="D10" s="6" t="s">
        <v>480</v>
      </c>
      <c r="E10" s="6" t="s">
        <v>476</v>
      </c>
      <c r="F10" s="7"/>
      <c r="G10" s="6" t="s">
        <v>481</v>
      </c>
    </row>
    <row r="11" customFormat="false" ht="15" hidden="false" customHeight="false" outlineLevel="0" collapsed="false">
      <c r="A11" s="4" t="n">
        <v>7</v>
      </c>
      <c r="B11" s="4" t="s">
        <v>468</v>
      </c>
      <c r="C11" s="6" t="s">
        <v>469</v>
      </c>
      <c r="D11" s="6" t="s">
        <v>482</v>
      </c>
      <c r="E11" s="6" t="s">
        <v>477</v>
      </c>
      <c r="F11" s="7"/>
      <c r="G11" s="6" t="s">
        <v>483</v>
      </c>
    </row>
    <row r="12" customFormat="false" ht="15" hidden="false" customHeight="false" outlineLevel="0" collapsed="false">
      <c r="A12" s="4" t="n">
        <v>8</v>
      </c>
      <c r="B12" s="4" t="s">
        <v>468</v>
      </c>
      <c r="C12" s="6" t="s">
        <v>473</v>
      </c>
      <c r="D12" s="6" t="s">
        <v>484</v>
      </c>
      <c r="E12" s="6" t="s">
        <v>478</v>
      </c>
      <c r="F12" s="7"/>
      <c r="G12" s="7" t="s">
        <v>485</v>
      </c>
    </row>
    <row r="13" customFormat="false" ht="15" hidden="false" customHeight="false" outlineLevel="0" collapsed="false">
      <c r="A13" s="4" t="n">
        <v>9</v>
      </c>
      <c r="B13" s="4" t="s">
        <v>468</v>
      </c>
      <c r="C13" s="6" t="s">
        <v>473</v>
      </c>
      <c r="D13" s="6" t="s">
        <v>486</v>
      </c>
      <c r="E13" s="6" t="s">
        <v>480</v>
      </c>
      <c r="F13" s="7"/>
      <c r="G13" s="7" t="s">
        <v>487</v>
      </c>
    </row>
    <row r="14" customFormat="false" ht="15" hidden="false" customHeight="false" outlineLevel="0" collapsed="false">
      <c r="A14" s="4" t="n">
        <v>10</v>
      </c>
      <c r="B14" s="4" t="s">
        <v>468</v>
      </c>
      <c r="C14" s="6" t="s">
        <v>473</v>
      </c>
      <c r="D14" s="6" t="s">
        <v>488</v>
      </c>
      <c r="E14" s="6" t="s">
        <v>489</v>
      </c>
      <c r="F14" s="7"/>
      <c r="G14" s="7" t="s">
        <v>490</v>
      </c>
    </row>
    <row r="15" customFormat="false" ht="15" hidden="false" customHeight="false" outlineLevel="0" collapsed="false">
      <c r="A15" s="4" t="n">
        <v>11</v>
      </c>
      <c r="B15" s="4" t="s">
        <v>468</v>
      </c>
      <c r="C15" s="6" t="s">
        <v>473</v>
      </c>
      <c r="D15" s="6" t="s">
        <v>491</v>
      </c>
      <c r="E15" s="6" t="s">
        <v>482</v>
      </c>
      <c r="F15" s="7"/>
      <c r="G15" s="7" t="s">
        <v>492</v>
      </c>
    </row>
    <row r="16" customFormat="false" ht="15" hidden="false" customHeight="false" outlineLevel="0" collapsed="false">
      <c r="A16" s="4" t="n">
        <v>12</v>
      </c>
      <c r="B16" s="4" t="s">
        <v>493</v>
      </c>
      <c r="C16" s="6" t="s">
        <v>469</v>
      </c>
      <c r="D16" s="6" t="s">
        <v>494</v>
      </c>
      <c r="E16" s="6" t="s">
        <v>495</v>
      </c>
      <c r="F16" s="7"/>
      <c r="G16" s="7" t="s">
        <v>496</v>
      </c>
    </row>
    <row r="17" customFormat="false" ht="15" hidden="false" customHeight="false" outlineLevel="0" collapsed="false">
      <c r="A17" s="4" t="n">
        <v>13</v>
      </c>
      <c r="B17" s="4" t="s">
        <v>493</v>
      </c>
      <c r="C17" s="6" t="s">
        <v>473</v>
      </c>
      <c r="D17" s="6" t="s">
        <v>497</v>
      </c>
      <c r="E17" s="6" t="s">
        <v>498</v>
      </c>
      <c r="F17" s="7"/>
      <c r="G17" s="7" t="s">
        <v>499</v>
      </c>
    </row>
    <row r="18" customFormat="false" ht="15" hidden="false" customHeight="false" outlineLevel="0" collapsed="false">
      <c r="A18" s="4" t="n">
        <v>14</v>
      </c>
      <c r="B18" s="4" t="s">
        <v>493</v>
      </c>
      <c r="C18" s="6" t="s">
        <v>473</v>
      </c>
      <c r="D18" s="6" t="s">
        <v>498</v>
      </c>
      <c r="E18" s="6" t="s">
        <v>500</v>
      </c>
      <c r="F18" s="7"/>
      <c r="G18" s="7" t="s">
        <v>501</v>
      </c>
    </row>
    <row r="19" customFormat="false" ht="15" hidden="false" customHeight="false" outlineLevel="0" collapsed="false">
      <c r="A19" s="4" t="n">
        <v>15</v>
      </c>
      <c r="B19" s="4" t="s">
        <v>493</v>
      </c>
      <c r="C19" s="6" t="s">
        <v>473</v>
      </c>
      <c r="D19" s="6" t="s">
        <v>498</v>
      </c>
      <c r="E19" s="6" t="s">
        <v>502</v>
      </c>
      <c r="F19" s="7"/>
      <c r="G19" s="7" t="s">
        <v>499</v>
      </c>
    </row>
    <row r="20" customFormat="false" ht="15" hidden="false" customHeight="false" outlineLevel="0" collapsed="false">
      <c r="A20" s="4" t="n">
        <v>16</v>
      </c>
      <c r="B20" s="4" t="s">
        <v>493</v>
      </c>
      <c r="C20" s="6" t="s">
        <v>473</v>
      </c>
      <c r="D20" s="6" t="s">
        <v>502</v>
      </c>
      <c r="E20" s="6" t="s">
        <v>503</v>
      </c>
      <c r="F20" s="7"/>
      <c r="G20" s="6" t="s">
        <v>504</v>
      </c>
    </row>
    <row r="21" customFormat="false" ht="15" hidden="false" customHeight="false" outlineLevel="0" collapsed="false">
      <c r="A21" s="4" t="n">
        <v>17</v>
      </c>
      <c r="B21" s="4" t="s">
        <v>505</v>
      </c>
      <c r="C21" s="6" t="s">
        <v>469</v>
      </c>
      <c r="D21" s="6" t="s">
        <v>506</v>
      </c>
      <c r="E21" s="6" t="s">
        <v>507</v>
      </c>
      <c r="F21" s="7"/>
      <c r="G21" s="7" t="s">
        <v>508</v>
      </c>
    </row>
    <row r="22" customFormat="false" ht="15" hidden="false" customHeight="false" outlineLevel="0" collapsed="false">
      <c r="A22" s="4" t="n">
        <v>18</v>
      </c>
      <c r="B22" s="4" t="s">
        <v>505</v>
      </c>
      <c r="C22" s="6" t="s">
        <v>473</v>
      </c>
      <c r="D22" s="6" t="s">
        <v>506</v>
      </c>
      <c r="E22" s="6" t="s">
        <v>509</v>
      </c>
      <c r="F22" s="7"/>
      <c r="G22" s="7" t="s">
        <v>510</v>
      </c>
    </row>
    <row r="23" customFormat="false" ht="15" hidden="false" customHeight="false" outlineLevel="0" collapsed="false">
      <c r="A23" s="4" t="n">
        <v>19</v>
      </c>
      <c r="B23" s="4" t="s">
        <v>505</v>
      </c>
      <c r="C23" s="6" t="s">
        <v>473</v>
      </c>
      <c r="D23" s="6" t="s">
        <v>506</v>
      </c>
      <c r="E23" s="6" t="s">
        <v>511</v>
      </c>
      <c r="F23" s="7"/>
      <c r="G23" s="7" t="s">
        <v>512</v>
      </c>
    </row>
    <row r="24" customFormat="false" ht="15" hidden="false" customHeight="false" outlineLevel="0" collapsed="false">
      <c r="A24" s="4" t="n">
        <v>20</v>
      </c>
      <c r="B24" s="4" t="s">
        <v>505</v>
      </c>
      <c r="C24" s="6" t="s">
        <v>469</v>
      </c>
      <c r="D24" s="6" t="s">
        <v>509</v>
      </c>
      <c r="E24" s="6" t="s">
        <v>513</v>
      </c>
      <c r="F24" s="7"/>
      <c r="G24" s="7" t="s">
        <v>514</v>
      </c>
    </row>
    <row r="25" customFormat="false" ht="15" hidden="false" customHeight="false" outlineLevel="0" collapsed="false">
      <c r="A25" s="4" t="n">
        <v>21</v>
      </c>
      <c r="B25" s="4" t="s">
        <v>505</v>
      </c>
      <c r="C25" s="6" t="s">
        <v>469</v>
      </c>
      <c r="D25" s="6" t="s">
        <v>515</v>
      </c>
      <c r="E25" s="6" t="s">
        <v>516</v>
      </c>
      <c r="F25" s="7"/>
      <c r="G25" s="7" t="s">
        <v>517</v>
      </c>
    </row>
    <row r="26" customFormat="false" ht="15" hidden="false" customHeight="false" outlineLevel="0" collapsed="false">
      <c r="A26" s="4" t="n">
        <v>22</v>
      </c>
      <c r="B26" s="4" t="s">
        <v>505</v>
      </c>
      <c r="C26" s="6" t="s">
        <v>469</v>
      </c>
      <c r="D26" s="6" t="s">
        <v>518</v>
      </c>
      <c r="E26" s="6" t="s">
        <v>519</v>
      </c>
      <c r="F26" s="7"/>
      <c r="G26" s="7" t="s">
        <v>520</v>
      </c>
    </row>
    <row r="27" customFormat="false" ht="15" hidden="false" customHeight="false" outlineLevel="0" collapsed="false">
      <c r="A27" s="4" t="n">
        <v>23</v>
      </c>
      <c r="B27" s="4" t="s">
        <v>505</v>
      </c>
      <c r="C27" s="6" t="s">
        <v>469</v>
      </c>
      <c r="D27" s="6" t="s">
        <v>521</v>
      </c>
      <c r="E27" s="6" t="s">
        <v>522</v>
      </c>
      <c r="F27" s="7"/>
      <c r="G27" s="7" t="s">
        <v>523</v>
      </c>
    </row>
    <row r="28" customFormat="false" ht="15" hidden="false" customHeight="false" outlineLevel="0" collapsed="false">
      <c r="A28" s="4" t="n">
        <v>24</v>
      </c>
      <c r="B28" s="4" t="s">
        <v>505</v>
      </c>
      <c r="C28" s="6" t="s">
        <v>469</v>
      </c>
      <c r="D28" s="6" t="s">
        <v>524</v>
      </c>
      <c r="E28" s="6" t="s">
        <v>525</v>
      </c>
      <c r="F28" s="7"/>
      <c r="G28" s="7" t="s">
        <v>526</v>
      </c>
    </row>
    <row r="29" customFormat="false" ht="15" hidden="false" customHeight="false" outlineLevel="0" collapsed="false">
      <c r="A29" s="4" t="n">
        <v>25</v>
      </c>
      <c r="B29" s="4" t="s">
        <v>505</v>
      </c>
      <c r="C29" s="6" t="s">
        <v>469</v>
      </c>
      <c r="D29" s="6" t="s">
        <v>513</v>
      </c>
      <c r="E29" s="6" t="s">
        <v>527</v>
      </c>
      <c r="F29" s="7"/>
      <c r="G29" s="7" t="s">
        <v>528</v>
      </c>
    </row>
    <row r="30" customFormat="false" ht="15" hidden="false" customHeight="false" outlineLevel="0" collapsed="false">
      <c r="A30" s="4" t="n">
        <v>26</v>
      </c>
      <c r="B30" s="4" t="s">
        <v>505</v>
      </c>
      <c r="C30" s="6" t="s">
        <v>473</v>
      </c>
      <c r="D30" s="6" t="s">
        <v>529</v>
      </c>
      <c r="E30" s="6" t="s">
        <v>530</v>
      </c>
      <c r="F30" s="7"/>
      <c r="G30" s="7" t="s">
        <v>531</v>
      </c>
    </row>
    <row r="31" customFormat="false" ht="15" hidden="false" customHeight="false" outlineLevel="0" collapsed="false">
      <c r="A31" s="4" t="n">
        <v>27</v>
      </c>
      <c r="B31" s="4" t="s">
        <v>505</v>
      </c>
      <c r="C31" s="6" t="s">
        <v>473</v>
      </c>
      <c r="D31" s="6" t="s">
        <v>532</v>
      </c>
      <c r="E31" s="6" t="s">
        <v>533</v>
      </c>
      <c r="F31" s="7"/>
      <c r="G31" s="7" t="s">
        <v>534</v>
      </c>
    </row>
    <row r="32" customFormat="false" ht="15" hidden="false" customHeight="false" outlineLevel="0" collapsed="false">
      <c r="A32" s="4" t="n">
        <v>28</v>
      </c>
      <c r="B32" s="4" t="s">
        <v>505</v>
      </c>
      <c r="C32" s="6" t="s">
        <v>473</v>
      </c>
      <c r="D32" s="6" t="s">
        <v>535</v>
      </c>
      <c r="E32" s="6" t="s">
        <v>516</v>
      </c>
      <c r="F32" s="7"/>
      <c r="G32" s="7" t="s">
        <v>536</v>
      </c>
    </row>
    <row r="33" customFormat="false" ht="15" hidden="false" customHeight="false" outlineLevel="0" collapsed="false">
      <c r="A33" s="4" t="n">
        <v>29</v>
      </c>
      <c r="B33" s="4" t="s">
        <v>505</v>
      </c>
      <c r="C33" s="6" t="s">
        <v>473</v>
      </c>
      <c r="D33" s="6" t="s">
        <v>537</v>
      </c>
      <c r="E33" s="6" t="s">
        <v>538</v>
      </c>
      <c r="F33" s="7"/>
      <c r="G33" s="7" t="s">
        <v>539</v>
      </c>
    </row>
    <row r="34" customFormat="false" ht="15" hidden="false" customHeight="false" outlineLevel="0" collapsed="false">
      <c r="A34" s="4" t="n">
        <v>30</v>
      </c>
      <c r="B34" s="4" t="s">
        <v>505</v>
      </c>
      <c r="C34" s="6" t="s">
        <v>473</v>
      </c>
      <c r="D34" s="6" t="s">
        <v>540</v>
      </c>
      <c r="E34" s="6" t="s">
        <v>541</v>
      </c>
      <c r="F34" s="7"/>
      <c r="G34" s="7" t="s">
        <v>542</v>
      </c>
    </row>
    <row r="35" customFormat="false" ht="15" hidden="false" customHeight="false" outlineLevel="0" collapsed="false">
      <c r="A35" s="4" t="n">
        <v>31</v>
      </c>
      <c r="B35" s="4" t="s">
        <v>505</v>
      </c>
      <c r="C35" s="6" t="s">
        <v>473</v>
      </c>
      <c r="D35" s="6" t="s">
        <v>543</v>
      </c>
      <c r="E35" s="6" t="s">
        <v>544</v>
      </c>
      <c r="F35" s="7"/>
      <c r="G35" s="7" t="s">
        <v>545</v>
      </c>
    </row>
    <row r="36" customFormat="false" ht="15" hidden="false" customHeight="false" outlineLevel="0" collapsed="false">
      <c r="A36" s="4" t="n">
        <v>32</v>
      </c>
      <c r="B36" s="4" t="s">
        <v>505</v>
      </c>
      <c r="C36" s="6" t="s">
        <v>473</v>
      </c>
      <c r="D36" s="6" t="s">
        <v>546</v>
      </c>
      <c r="E36" s="6" t="s">
        <v>519</v>
      </c>
      <c r="F36" s="7"/>
      <c r="G36" s="7" t="s">
        <v>547</v>
      </c>
    </row>
    <row r="37" customFormat="false" ht="15" hidden="false" customHeight="false" outlineLevel="0" collapsed="false">
      <c r="A37" s="4" t="n">
        <v>33</v>
      </c>
      <c r="B37" s="4" t="s">
        <v>505</v>
      </c>
      <c r="C37" s="6" t="s">
        <v>473</v>
      </c>
      <c r="D37" s="6" t="s">
        <v>548</v>
      </c>
      <c r="E37" s="6" t="s">
        <v>549</v>
      </c>
      <c r="F37" s="7"/>
      <c r="G37" s="7" t="s">
        <v>550</v>
      </c>
    </row>
    <row r="38" customFormat="false" ht="15" hidden="false" customHeight="false" outlineLevel="0" collapsed="false">
      <c r="A38" s="4" t="n">
        <v>34</v>
      </c>
      <c r="B38" s="4" t="s">
        <v>505</v>
      </c>
      <c r="C38" s="6" t="s">
        <v>473</v>
      </c>
      <c r="D38" s="6" t="s">
        <v>551</v>
      </c>
      <c r="E38" s="6" t="s">
        <v>552</v>
      </c>
      <c r="F38" s="7"/>
      <c r="G38" s="7" t="s">
        <v>553</v>
      </c>
    </row>
    <row r="39" customFormat="false" ht="15" hidden="false" customHeight="false" outlineLevel="0" collapsed="false">
      <c r="A39" s="4" t="n">
        <v>35</v>
      </c>
      <c r="B39" s="4" t="s">
        <v>505</v>
      </c>
      <c r="C39" s="6" t="s">
        <v>473</v>
      </c>
      <c r="D39" s="6" t="s">
        <v>554</v>
      </c>
      <c r="E39" s="6" t="s">
        <v>522</v>
      </c>
      <c r="F39" s="7"/>
      <c r="G39" s="7" t="s">
        <v>555</v>
      </c>
    </row>
    <row r="40" customFormat="false" ht="15" hidden="false" customHeight="false" outlineLevel="0" collapsed="false">
      <c r="A40" s="4" t="n">
        <v>36</v>
      </c>
      <c r="B40" s="4" t="s">
        <v>505</v>
      </c>
      <c r="C40" s="6" t="s">
        <v>473</v>
      </c>
      <c r="D40" s="6" t="s">
        <v>556</v>
      </c>
      <c r="E40" s="6" t="s">
        <v>557</v>
      </c>
      <c r="F40" s="7"/>
      <c r="G40" s="7" t="s">
        <v>558</v>
      </c>
    </row>
    <row r="41" customFormat="false" ht="15" hidden="false" customHeight="false" outlineLevel="0" collapsed="false">
      <c r="A41" s="4" t="n">
        <v>37</v>
      </c>
      <c r="B41" s="4" t="s">
        <v>505</v>
      </c>
      <c r="C41" s="6" t="s">
        <v>473</v>
      </c>
      <c r="D41" s="6" t="s">
        <v>559</v>
      </c>
      <c r="E41" s="6" t="s">
        <v>560</v>
      </c>
      <c r="F41" s="7"/>
      <c r="G41" s="7" t="s">
        <v>561</v>
      </c>
    </row>
    <row r="42" customFormat="false" ht="15" hidden="false" customHeight="false" outlineLevel="0" collapsed="false">
      <c r="A42" s="4" t="n">
        <v>38</v>
      </c>
      <c r="B42" s="4" t="s">
        <v>505</v>
      </c>
      <c r="C42" s="6" t="s">
        <v>473</v>
      </c>
      <c r="D42" s="6" t="s">
        <v>562</v>
      </c>
      <c r="E42" s="6" t="s">
        <v>563</v>
      </c>
      <c r="F42" s="7"/>
      <c r="G42" s="7" t="s">
        <v>564</v>
      </c>
    </row>
    <row r="43" customFormat="false" ht="15" hidden="false" customHeight="false" outlineLevel="0" collapsed="false">
      <c r="A43" s="4" t="n">
        <v>39</v>
      </c>
      <c r="B43" s="4" t="s">
        <v>505</v>
      </c>
      <c r="C43" s="6" t="s">
        <v>473</v>
      </c>
      <c r="D43" s="6" t="s">
        <v>565</v>
      </c>
      <c r="E43" s="6" t="s">
        <v>566</v>
      </c>
      <c r="F43" s="7"/>
      <c r="G43" s="7" t="s">
        <v>567</v>
      </c>
    </row>
    <row r="44" customFormat="false" ht="15" hidden="false" customHeight="false" outlineLevel="0" collapsed="false">
      <c r="A44" s="4" t="n">
        <v>40</v>
      </c>
      <c r="B44" s="4" t="s">
        <v>568</v>
      </c>
      <c r="C44" s="6" t="s">
        <v>469</v>
      </c>
      <c r="D44" s="6" t="s">
        <v>569</v>
      </c>
      <c r="E44" s="6" t="s">
        <v>570</v>
      </c>
      <c r="F44" s="7"/>
      <c r="G44" s="7" t="s">
        <v>571</v>
      </c>
    </row>
    <row r="45" customFormat="false" ht="15" hidden="false" customHeight="false" outlineLevel="0" collapsed="false">
      <c r="A45" s="4" t="n">
        <v>41</v>
      </c>
      <c r="B45" s="4" t="s">
        <v>572</v>
      </c>
      <c r="C45" s="6" t="s">
        <v>469</v>
      </c>
      <c r="D45" s="6" t="s">
        <v>573</v>
      </c>
      <c r="E45" s="6" t="s">
        <v>574</v>
      </c>
      <c r="F45" s="7"/>
      <c r="G45" s="6" t="s">
        <v>575</v>
      </c>
    </row>
    <row r="46" customFormat="false" ht="15" hidden="false" customHeight="false" outlineLevel="0" collapsed="false">
      <c r="A46" s="4" t="n">
        <v>42</v>
      </c>
      <c r="B46" s="4" t="s">
        <v>576</v>
      </c>
      <c r="C46" s="6" t="s">
        <v>469</v>
      </c>
      <c r="D46" s="6" t="s">
        <v>577</v>
      </c>
      <c r="E46" s="6" t="s">
        <v>578</v>
      </c>
      <c r="F46" s="7"/>
      <c r="G46" s="7" t="s">
        <v>579</v>
      </c>
    </row>
    <row r="47" customFormat="false" ht="15" hidden="false" customHeight="false" outlineLevel="0" collapsed="false">
      <c r="A47" s="4" t="n">
        <v>43</v>
      </c>
      <c r="B47" s="4" t="s">
        <v>580</v>
      </c>
      <c r="C47" s="6" t="s">
        <v>469</v>
      </c>
      <c r="D47" s="6" t="s">
        <v>581</v>
      </c>
      <c r="E47" s="6" t="s">
        <v>582</v>
      </c>
      <c r="F47" s="7"/>
      <c r="G47" s="6" t="s">
        <v>583</v>
      </c>
    </row>
    <row r="48" customFormat="false" ht="15" hidden="false" customHeight="false" outlineLevel="0" collapsed="false">
      <c r="A48" s="4" t="n">
        <v>44</v>
      </c>
      <c r="B48" s="4" t="s">
        <v>584</v>
      </c>
      <c r="C48" s="6" t="s">
        <v>469</v>
      </c>
      <c r="D48" s="6" t="s">
        <v>585</v>
      </c>
      <c r="E48" s="6" t="s">
        <v>586</v>
      </c>
      <c r="F48" s="7"/>
      <c r="G48" s="6" t="s">
        <v>587</v>
      </c>
    </row>
    <row r="49" customFormat="false" ht="15" hidden="false" customHeight="false" outlineLevel="0" collapsed="false">
      <c r="A49" s="4" t="n">
        <v>45</v>
      </c>
      <c r="B49" s="4" t="s">
        <v>584</v>
      </c>
      <c r="C49" s="6" t="s">
        <v>473</v>
      </c>
      <c r="D49" s="6" t="s">
        <v>588</v>
      </c>
      <c r="E49" s="6" t="s">
        <v>585</v>
      </c>
      <c r="F49" s="6" t="s">
        <v>589</v>
      </c>
      <c r="G49" s="7" t="s">
        <v>590</v>
      </c>
    </row>
    <row r="50" customFormat="false" ht="15" hidden="false" customHeight="false" outlineLevel="0" collapsed="false">
      <c r="A50" s="4" t="n">
        <v>46</v>
      </c>
      <c r="B50" s="4" t="s">
        <v>591</v>
      </c>
      <c r="C50" s="6" t="s">
        <v>469</v>
      </c>
      <c r="D50" s="6" t="s">
        <v>592</v>
      </c>
      <c r="E50" s="6" t="s">
        <v>593</v>
      </c>
      <c r="F50" s="7"/>
      <c r="G50" s="6" t="s">
        <v>594</v>
      </c>
    </row>
    <row r="51" customFormat="false" ht="15" hidden="false" customHeight="false" outlineLevel="0" collapsed="false">
      <c r="A51" s="4" t="n">
        <v>47</v>
      </c>
      <c r="B51" s="4" t="s">
        <v>595</v>
      </c>
      <c r="C51" s="6" t="s">
        <v>473</v>
      </c>
      <c r="D51" s="6" t="s">
        <v>596</v>
      </c>
      <c r="E51" s="6" t="s">
        <v>597</v>
      </c>
      <c r="F51" s="7"/>
      <c r="G51" s="6" t="s">
        <v>598</v>
      </c>
    </row>
    <row r="52" customFormat="false" ht="15" hidden="false" customHeight="false" outlineLevel="0" collapsed="false">
      <c r="A52" s="4" t="n">
        <v>48</v>
      </c>
      <c r="B52" s="4" t="s">
        <v>595</v>
      </c>
      <c r="C52" s="6" t="s">
        <v>473</v>
      </c>
      <c r="D52" s="6" t="s">
        <v>597</v>
      </c>
      <c r="E52" s="6" t="s">
        <v>599</v>
      </c>
      <c r="F52" s="7"/>
      <c r="G52" s="7" t="s">
        <v>600</v>
      </c>
    </row>
    <row r="53" customFormat="false" ht="15" hidden="false" customHeight="false" outlineLevel="0" collapsed="false">
      <c r="A53" s="4" t="n">
        <v>49</v>
      </c>
      <c r="B53" s="4" t="s">
        <v>595</v>
      </c>
      <c r="C53" s="6" t="s">
        <v>473</v>
      </c>
      <c r="D53" s="6" t="s">
        <v>597</v>
      </c>
      <c r="E53" s="6" t="s">
        <v>601</v>
      </c>
      <c r="F53" s="6" t="s">
        <v>602</v>
      </c>
      <c r="G53" s="6" t="s">
        <v>603</v>
      </c>
    </row>
    <row r="54" customFormat="false" ht="15" hidden="false" customHeight="false" outlineLevel="0" collapsed="false">
      <c r="A54" s="4" t="n">
        <v>50</v>
      </c>
      <c r="B54" s="4" t="s">
        <v>604</v>
      </c>
      <c r="C54" s="6" t="s">
        <v>469</v>
      </c>
      <c r="D54" s="6" t="s">
        <v>605</v>
      </c>
      <c r="E54" s="6" t="s">
        <v>606</v>
      </c>
      <c r="F54" s="7"/>
      <c r="G54" s="7" t="s">
        <v>607</v>
      </c>
    </row>
    <row r="55" customFormat="false" ht="15" hidden="false" customHeight="false" outlineLevel="0" collapsed="false">
      <c r="A55" s="4" t="n">
        <v>51</v>
      </c>
      <c r="B55" s="4" t="s">
        <v>608</v>
      </c>
      <c r="C55" s="6" t="s">
        <v>469</v>
      </c>
      <c r="D55" s="6" t="s">
        <v>609</v>
      </c>
      <c r="E55" s="6" t="s">
        <v>610</v>
      </c>
      <c r="F55" s="7"/>
      <c r="G55" s="7" t="s">
        <v>611</v>
      </c>
    </row>
    <row r="56" customFormat="false" ht="15" hidden="false" customHeight="false" outlineLevel="0" collapsed="false">
      <c r="A56" s="4" t="n">
        <v>52</v>
      </c>
      <c r="B56" s="4" t="s">
        <v>447</v>
      </c>
      <c r="C56" s="6" t="s">
        <v>469</v>
      </c>
      <c r="D56" s="6" t="s">
        <v>612</v>
      </c>
      <c r="E56" s="6" t="s">
        <v>613</v>
      </c>
      <c r="F56" s="7"/>
      <c r="G56" s="7" t="s">
        <v>614</v>
      </c>
    </row>
    <row r="57" customFormat="false" ht="15" hidden="false" customHeight="false" outlineLevel="0" collapsed="false">
      <c r="A57" s="4" t="n">
        <v>53</v>
      </c>
      <c r="B57" s="4" t="s">
        <v>615</v>
      </c>
      <c r="C57" s="6" t="s">
        <v>469</v>
      </c>
      <c r="D57" s="6" t="s">
        <v>616</v>
      </c>
      <c r="E57" s="6" t="s">
        <v>617</v>
      </c>
      <c r="F57" s="7"/>
      <c r="G57" s="6" t="s">
        <v>618</v>
      </c>
    </row>
    <row r="58" customFormat="false" ht="15" hidden="false" customHeight="false" outlineLevel="0" collapsed="false">
      <c r="A58" s="4" t="n">
        <v>54</v>
      </c>
      <c r="B58" s="4" t="s">
        <v>458</v>
      </c>
      <c r="C58" s="6" t="s">
        <v>469</v>
      </c>
      <c r="D58" s="6" t="s">
        <v>619</v>
      </c>
      <c r="E58" s="6" t="s">
        <v>620</v>
      </c>
      <c r="F58" s="7"/>
      <c r="G58" s="7" t="s">
        <v>621</v>
      </c>
    </row>
    <row r="59" customFormat="false" ht="15" hidden="false" customHeight="false" outlineLevel="0" collapsed="false">
      <c r="A59" s="4" t="n">
        <v>55</v>
      </c>
      <c r="B59" s="4" t="s">
        <v>622</v>
      </c>
      <c r="C59" s="6" t="s">
        <v>469</v>
      </c>
      <c r="D59" s="6" t="s">
        <v>623</v>
      </c>
      <c r="E59" s="6" t="s">
        <v>624</v>
      </c>
      <c r="F59" s="7"/>
      <c r="G59" s="6" t="s">
        <v>625</v>
      </c>
    </row>
  </sheetData>
  <autoFilter ref="A4:G5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626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627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628</v>
      </c>
      <c r="B4" s="3" t="s">
        <v>629</v>
      </c>
      <c r="C4" s="3" t="s">
        <v>630</v>
      </c>
      <c r="D4" s="3" t="s">
        <v>631</v>
      </c>
      <c r="E4" s="3" t="s">
        <v>632</v>
      </c>
    </row>
    <row r="5" customFormat="false" ht="15" hidden="false" customHeight="false" outlineLevel="0" collapsed="false">
      <c r="A5" s="7" t="s">
        <v>633</v>
      </c>
      <c r="B5" s="5" t="s">
        <v>634</v>
      </c>
      <c r="C5" s="7" t="s">
        <v>635</v>
      </c>
      <c r="D5" s="4" t="s">
        <v>636</v>
      </c>
      <c r="E5" s="7" t="s">
        <v>637</v>
      </c>
    </row>
    <row r="6" customFormat="false" ht="15" hidden="false" customHeight="false" outlineLevel="0" collapsed="false">
      <c r="A6" s="7" t="s">
        <v>638</v>
      </c>
      <c r="B6" s="5" t="s">
        <v>639</v>
      </c>
      <c r="C6" s="7" t="s">
        <v>640</v>
      </c>
      <c r="D6" s="4" t="s">
        <v>641</v>
      </c>
      <c r="E6" s="7" t="s">
        <v>637</v>
      </c>
    </row>
    <row r="7" customFormat="false" ht="15" hidden="false" customHeight="false" outlineLevel="0" collapsed="false">
      <c r="A7" s="7" t="s">
        <v>642</v>
      </c>
      <c r="B7" s="5" t="s">
        <v>643</v>
      </c>
      <c r="C7" s="7" t="s">
        <v>644</v>
      </c>
      <c r="D7" s="4" t="s">
        <v>645</v>
      </c>
      <c r="E7" s="7" t="s">
        <v>637</v>
      </c>
    </row>
    <row r="8" customFormat="false" ht="15" hidden="false" customHeight="false" outlineLevel="0" collapsed="false">
      <c r="A8" s="7" t="s">
        <v>646</v>
      </c>
      <c r="B8" s="5" t="s">
        <v>647</v>
      </c>
      <c r="C8" s="7" t="s">
        <v>648</v>
      </c>
      <c r="D8" s="4" t="s">
        <v>649</v>
      </c>
      <c r="E8" s="7" t="s">
        <v>637</v>
      </c>
    </row>
    <row r="9" customFormat="false" ht="15" hidden="false" customHeight="false" outlineLevel="0" collapsed="false">
      <c r="A9" s="7" t="s">
        <v>650</v>
      </c>
      <c r="B9" s="5" t="s">
        <v>651</v>
      </c>
      <c r="C9" s="7" t="s">
        <v>652</v>
      </c>
      <c r="D9" s="4" t="s">
        <v>653</v>
      </c>
      <c r="E9" s="7" t="s">
        <v>637</v>
      </c>
    </row>
    <row r="10" customFormat="false" ht="15" hidden="false" customHeight="false" outlineLevel="0" collapsed="false">
      <c r="A10" s="7" t="s">
        <v>654</v>
      </c>
      <c r="B10" s="5" t="s">
        <v>655</v>
      </c>
      <c r="C10" s="7" t="s">
        <v>656</v>
      </c>
      <c r="D10" s="4" t="s">
        <v>657</v>
      </c>
      <c r="E10" s="7" t="s">
        <v>637</v>
      </c>
    </row>
    <row r="11" customFormat="false" ht="15" hidden="false" customHeight="false" outlineLevel="0" collapsed="false">
      <c r="A11" s="7" t="s">
        <v>658</v>
      </c>
      <c r="B11" s="5" t="s">
        <v>659</v>
      </c>
      <c r="C11" s="7" t="s">
        <v>660</v>
      </c>
      <c r="D11" s="4" t="s">
        <v>661</v>
      </c>
      <c r="E11" s="7" t="s">
        <v>637</v>
      </c>
    </row>
    <row r="12" customFormat="false" ht="15" hidden="false" customHeight="false" outlineLevel="0" collapsed="false">
      <c r="A12" s="7" t="s">
        <v>662</v>
      </c>
      <c r="B12" s="5" t="s">
        <v>663</v>
      </c>
      <c r="C12" s="7" t="s">
        <v>664</v>
      </c>
      <c r="D12" s="4" t="s">
        <v>665</v>
      </c>
      <c r="E12" s="7" t="s">
        <v>637</v>
      </c>
    </row>
    <row r="13" customFormat="false" ht="15" hidden="false" customHeight="false" outlineLevel="0" collapsed="false">
      <c r="A13" s="7" t="s">
        <v>666</v>
      </c>
      <c r="B13" s="5" t="s">
        <v>667</v>
      </c>
      <c r="C13" s="7" t="s">
        <v>668</v>
      </c>
      <c r="D13" s="4" t="s">
        <v>669</v>
      </c>
      <c r="E13" s="7" t="s">
        <v>637</v>
      </c>
    </row>
    <row r="14" customFormat="false" ht="15" hidden="false" customHeight="false" outlineLevel="0" collapsed="false">
      <c r="A14" s="7" t="s">
        <v>670</v>
      </c>
      <c r="B14" s="5" t="s">
        <v>671</v>
      </c>
      <c r="C14" s="7" t="s">
        <v>672</v>
      </c>
      <c r="D14" s="5" t="s">
        <v>673</v>
      </c>
      <c r="E14" s="7" t="s">
        <v>674</v>
      </c>
    </row>
    <row r="15" customFormat="false" ht="15" hidden="false" customHeight="false" outlineLevel="0" collapsed="false">
      <c r="A15" s="7" t="s">
        <v>675</v>
      </c>
      <c r="B15" s="5" t="s">
        <v>676</v>
      </c>
      <c r="C15" s="6" t="s">
        <v>677</v>
      </c>
      <c r="D15" s="4"/>
      <c r="E15" s="6" t="s">
        <v>678</v>
      </c>
    </row>
    <row r="16" customFormat="false" ht="15" hidden="false" customHeight="false" outlineLevel="0" collapsed="false">
      <c r="A16" s="7" t="s">
        <v>679</v>
      </c>
      <c r="B16" s="5" t="s">
        <v>680</v>
      </c>
      <c r="C16" s="6" t="s">
        <v>681</v>
      </c>
      <c r="D16" s="4"/>
      <c r="E16" s="6" t="s">
        <v>682</v>
      </c>
    </row>
    <row r="17" customFormat="false" ht="15" hidden="false" customHeight="false" outlineLevel="0" collapsed="false">
      <c r="A17" s="7" t="s">
        <v>383</v>
      </c>
      <c r="B17" s="5" t="s">
        <v>683</v>
      </c>
      <c r="C17" s="7" t="s">
        <v>684</v>
      </c>
      <c r="D17" s="4"/>
      <c r="E17" s="6" t="s">
        <v>685</v>
      </c>
    </row>
    <row r="18" customFormat="false" ht="15" hidden="false" customHeight="false" outlineLevel="0" collapsed="false">
      <c r="A18" s="7" t="s">
        <v>401</v>
      </c>
      <c r="B18" s="5" t="s">
        <v>686</v>
      </c>
      <c r="C18" s="6" t="s">
        <v>687</v>
      </c>
      <c r="D18" s="4"/>
      <c r="E18" s="6" t="s">
        <v>688</v>
      </c>
    </row>
    <row r="19" customFormat="false" ht="29.85" hidden="false" customHeight="false" outlineLevel="0" collapsed="false">
      <c r="A19" s="7" t="s">
        <v>406</v>
      </c>
      <c r="B19" s="5" t="s">
        <v>689</v>
      </c>
      <c r="C19" s="6" t="s">
        <v>410</v>
      </c>
      <c r="D19" s="4"/>
      <c r="E19" s="7" t="s">
        <v>690</v>
      </c>
    </row>
    <row r="21" customFormat="false" ht="15" hidden="false" customHeight="false" outlineLevel="0" collapsed="false">
      <c r="A21" s="9" t="s">
        <v>691</v>
      </c>
    </row>
    <row r="22" customFormat="false" ht="33.75" hidden="false" customHeight="true" outlineLevel="0" collapsed="false">
      <c r="A22" s="10" t="s">
        <v>692</v>
      </c>
      <c r="B22" s="10"/>
      <c r="C22" s="10"/>
      <c r="D22" s="10"/>
      <c r="E22" s="10"/>
    </row>
  </sheetData>
  <mergeCells count="3">
    <mergeCell ref="A1:E1"/>
    <mergeCell ref="A2:E2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693</v>
      </c>
      <c r="B1" s="1"/>
      <c r="C1" s="1"/>
      <c r="D1" s="1"/>
    </row>
    <row r="2" customFormat="false" ht="15" hidden="false" customHeight="false" outlineLevel="0" collapsed="false">
      <c r="A2" s="11" t="s">
        <v>694</v>
      </c>
      <c r="B2" s="11"/>
      <c r="C2" s="11"/>
      <c r="D2" s="11"/>
    </row>
    <row r="4" customFormat="false" ht="15" hidden="false" customHeight="false" outlineLevel="0" collapsed="false">
      <c r="A4" s="12" t="s">
        <v>695</v>
      </c>
      <c r="B4" s="12"/>
      <c r="C4" s="12"/>
      <c r="D4" s="12"/>
    </row>
    <row r="5" customFormat="false" ht="15" hidden="false" customHeight="false" outlineLevel="0" collapsed="false">
      <c r="A5" s="6" t="s">
        <v>696</v>
      </c>
      <c r="B5" s="13" t="n">
        <v>12</v>
      </c>
      <c r="C5" s="4" t="s">
        <v>697</v>
      </c>
      <c r="D5" s="6" t="s">
        <v>698</v>
      </c>
    </row>
    <row r="6" customFormat="false" ht="15" hidden="false" customHeight="false" outlineLevel="0" collapsed="false">
      <c r="A6" s="6" t="s">
        <v>699</v>
      </c>
      <c r="B6" s="14" t="n">
        <v>68</v>
      </c>
      <c r="C6" s="4" t="s">
        <v>700</v>
      </c>
      <c r="D6" s="7" t="s">
        <v>701</v>
      </c>
    </row>
    <row r="7" customFormat="false" ht="15" hidden="false" customHeight="false" outlineLevel="0" collapsed="false">
      <c r="A7" s="6" t="s">
        <v>702</v>
      </c>
      <c r="B7" s="14" t="n">
        <v>10</v>
      </c>
      <c r="C7" s="4" t="s">
        <v>700</v>
      </c>
      <c r="D7" s="7"/>
    </row>
    <row r="8" customFormat="false" ht="15" hidden="false" customHeight="false" outlineLevel="0" collapsed="false">
      <c r="A8" s="7" t="s">
        <v>703</v>
      </c>
      <c r="B8" s="14" t="n">
        <v>3.3</v>
      </c>
      <c r="C8" s="4" t="s">
        <v>697</v>
      </c>
      <c r="D8" s="7" t="s">
        <v>635</v>
      </c>
    </row>
    <row r="9" customFormat="false" ht="15" hidden="false" customHeight="false" outlineLevel="0" collapsed="false">
      <c r="A9" s="7" t="s">
        <v>704</v>
      </c>
      <c r="B9" s="14" t="n">
        <v>12</v>
      </c>
      <c r="C9" s="4" t="s">
        <v>705</v>
      </c>
      <c r="D9" s="7" t="s">
        <v>706</v>
      </c>
    </row>
    <row r="10" customFormat="false" ht="15" hidden="false" customHeight="false" outlineLevel="0" collapsed="false">
      <c r="A10" s="6" t="s">
        <v>707</v>
      </c>
      <c r="B10" s="13" t="n">
        <v>14</v>
      </c>
      <c r="C10" s="4" t="s">
        <v>697</v>
      </c>
      <c r="D10" s="6" t="s">
        <v>708</v>
      </c>
    </row>
    <row r="11" customFormat="false" ht="15" hidden="false" customHeight="false" outlineLevel="0" collapsed="false">
      <c r="A11" s="6" t="s">
        <v>709</v>
      </c>
      <c r="B11" s="13" t="n">
        <v>13</v>
      </c>
      <c r="C11" s="4" t="s">
        <v>697</v>
      </c>
      <c r="D11" s="6" t="s">
        <v>710</v>
      </c>
    </row>
    <row r="12" customFormat="false" ht="15" hidden="false" customHeight="false" outlineLevel="0" collapsed="false">
      <c r="A12" s="6" t="s">
        <v>711</v>
      </c>
      <c r="B12" s="15" t="n">
        <v>0.185</v>
      </c>
      <c r="C12" s="4" t="s">
        <v>712</v>
      </c>
      <c r="D12" s="7" t="s">
        <v>713</v>
      </c>
    </row>
    <row r="13" customFormat="false" ht="15" hidden="false" customHeight="false" outlineLevel="0" collapsed="false">
      <c r="A13" s="6" t="s">
        <v>714</v>
      </c>
      <c r="B13" s="14" t="n">
        <v>2.5</v>
      </c>
      <c r="C13" s="4" t="s">
        <v>697</v>
      </c>
      <c r="D13" s="6" t="s">
        <v>715</v>
      </c>
    </row>
    <row r="14" customFormat="false" ht="15" hidden="false" customHeight="false" outlineLevel="0" collapsed="false">
      <c r="A14" s="6" t="s">
        <v>716</v>
      </c>
      <c r="B14" s="14" t="n">
        <v>10</v>
      </c>
      <c r="C14" s="4" t="s">
        <v>700</v>
      </c>
      <c r="D14" s="7"/>
    </row>
    <row r="15" customFormat="false" ht="15" hidden="false" customHeight="false" outlineLevel="0" collapsed="false">
      <c r="A15" s="6" t="s">
        <v>717</v>
      </c>
      <c r="B15" s="14" t="n">
        <v>20</v>
      </c>
      <c r="C15" s="4" t="s">
        <v>700</v>
      </c>
      <c r="D15" s="7" t="s">
        <v>718</v>
      </c>
    </row>
    <row r="16" customFormat="false" ht="15" hidden="false" customHeight="false" outlineLevel="0" collapsed="false">
      <c r="A16" s="6" t="s">
        <v>719</v>
      </c>
      <c r="B16" s="16" t="n">
        <v>2</v>
      </c>
      <c r="C16" s="4" t="s">
        <v>720</v>
      </c>
      <c r="D16" s="6" t="s">
        <v>721</v>
      </c>
    </row>
    <row r="17" customFormat="false" ht="15" hidden="false" customHeight="false" outlineLevel="0" collapsed="false">
      <c r="A17" s="6" t="s">
        <v>722</v>
      </c>
      <c r="B17" s="14" t="n">
        <v>12</v>
      </c>
      <c r="C17" s="4" t="s">
        <v>723</v>
      </c>
      <c r="D17" s="7" t="s">
        <v>724</v>
      </c>
    </row>
    <row r="18" customFormat="false" ht="15" hidden="false" customHeight="false" outlineLevel="0" collapsed="false">
      <c r="A18" s="6" t="s">
        <v>725</v>
      </c>
      <c r="B18" s="17" t="n">
        <v>8.2</v>
      </c>
      <c r="C18" s="4" t="s">
        <v>723</v>
      </c>
      <c r="D18" s="6" t="s">
        <v>726</v>
      </c>
    </row>
    <row r="19" customFormat="false" ht="15" hidden="false" customHeight="false" outlineLevel="0" collapsed="false">
      <c r="A19" s="7" t="s">
        <v>727</v>
      </c>
      <c r="B19" s="14" t="n">
        <v>10</v>
      </c>
      <c r="C19" s="4" t="s">
        <v>700</v>
      </c>
      <c r="D19" s="7"/>
    </row>
    <row r="20" customFormat="false" ht="15" hidden="false" customHeight="false" outlineLevel="0" collapsed="false">
      <c r="A20" s="7" t="s">
        <v>728</v>
      </c>
      <c r="B20" s="14" t="n">
        <v>3950</v>
      </c>
      <c r="C20" s="4" t="s">
        <v>729</v>
      </c>
      <c r="D20" s="7"/>
    </row>
    <row r="21" customFormat="false" ht="15" hidden="false" customHeight="false" outlineLevel="0" collapsed="false">
      <c r="A21" s="7" t="s">
        <v>730</v>
      </c>
      <c r="B21" s="14" t="n">
        <v>10</v>
      </c>
      <c r="C21" s="4" t="s">
        <v>700</v>
      </c>
      <c r="D21" s="7" t="s">
        <v>731</v>
      </c>
    </row>
    <row r="22" customFormat="false" ht="15" hidden="false" customHeight="false" outlineLevel="0" collapsed="false">
      <c r="A22" s="6" t="s">
        <v>732</v>
      </c>
      <c r="B22" s="13" t="n">
        <v>60</v>
      </c>
      <c r="C22" s="4" t="s">
        <v>733</v>
      </c>
      <c r="D22" s="7"/>
    </row>
    <row r="23" customFormat="false" ht="15" hidden="false" customHeight="false" outlineLevel="0" collapsed="false">
      <c r="A23" s="6" t="s">
        <v>734</v>
      </c>
      <c r="B23" s="13" t="n">
        <v>50</v>
      </c>
      <c r="C23" s="4" t="s">
        <v>733</v>
      </c>
      <c r="D23" s="6" t="s">
        <v>710</v>
      </c>
    </row>
    <row r="25" customFormat="false" ht="15" hidden="false" customHeight="false" outlineLevel="0" collapsed="false">
      <c r="A25" s="12" t="s">
        <v>735</v>
      </c>
      <c r="B25" s="12"/>
      <c r="C25" s="12"/>
      <c r="D25" s="12"/>
    </row>
    <row r="26" customFormat="false" ht="15" hidden="false" customHeight="false" outlineLevel="0" collapsed="false">
      <c r="A26" s="6" t="s">
        <v>736</v>
      </c>
      <c r="B26" s="18" t="n">
        <f aca="false">B7/(B6+B7)</f>
        <v>0.128205128205128</v>
      </c>
      <c r="C26" s="4"/>
      <c r="D26" s="7" t="s">
        <v>737</v>
      </c>
    </row>
    <row r="27" customFormat="false" ht="15" hidden="false" customHeight="false" outlineLevel="0" collapsed="false">
      <c r="A27" s="6" t="s">
        <v>738</v>
      </c>
      <c r="B27" s="19" t="n">
        <f aca="false">B5*B26</f>
        <v>1.53846153846154</v>
      </c>
      <c r="C27" s="4" t="s">
        <v>697</v>
      </c>
      <c r="D27" s="7"/>
    </row>
    <row r="28" customFormat="false" ht="15" hidden="false" customHeight="false" outlineLevel="0" collapsed="false">
      <c r="A28" s="6" t="s">
        <v>739</v>
      </c>
      <c r="B28" s="20" t="n">
        <f aca="false">B8/B26</f>
        <v>25.74</v>
      </c>
      <c r="C28" s="4" t="s">
        <v>697</v>
      </c>
      <c r="D28" s="6" t="s">
        <v>740</v>
      </c>
    </row>
    <row r="29" customFormat="false" ht="15" hidden="false" customHeight="false" outlineLevel="0" collapsed="false">
      <c r="A29" s="6" t="s">
        <v>741</v>
      </c>
      <c r="B29" s="21" t="n">
        <f aca="false">ROUND(B10*B26/B8*(2^B9-1),0)</f>
        <v>2227</v>
      </c>
      <c r="C29" s="4" t="s">
        <v>742</v>
      </c>
      <c r="D29" s="6" t="s">
        <v>743</v>
      </c>
    </row>
    <row r="30" customFormat="false" ht="15" hidden="false" customHeight="false" outlineLevel="0" collapsed="false">
      <c r="A30" s="6" t="s">
        <v>744</v>
      </c>
      <c r="B30" s="21" t="n">
        <f aca="false">ROUND(B11*B26/B8*(2^B9-1),0)</f>
        <v>2068</v>
      </c>
      <c r="C30" s="4" t="s">
        <v>742</v>
      </c>
      <c r="D30" s="6" t="s">
        <v>745</v>
      </c>
    </row>
    <row r="32" customFormat="false" ht="15" hidden="false" customHeight="false" outlineLevel="0" collapsed="false">
      <c r="A32" s="12" t="s">
        <v>746</v>
      </c>
      <c r="B32" s="12"/>
      <c r="C32" s="12"/>
      <c r="D32" s="12"/>
    </row>
    <row r="33" customFormat="false" ht="15" hidden="false" customHeight="false" outlineLevel="0" collapsed="false">
      <c r="A33" s="6" t="s">
        <v>747</v>
      </c>
      <c r="B33" s="18" t="n">
        <f aca="false">B15/(B14+B15)</f>
        <v>0.666666666666667</v>
      </c>
      <c r="C33" s="4"/>
      <c r="D33" s="7" t="s">
        <v>748</v>
      </c>
    </row>
    <row r="34" customFormat="false" ht="15" hidden="false" customHeight="false" outlineLevel="0" collapsed="false">
      <c r="A34" s="7" t="s">
        <v>749</v>
      </c>
      <c r="B34" s="21" t="n">
        <f aca="false">ROUND(B13*B33/B8*(2^B9-1),0)</f>
        <v>2068</v>
      </c>
      <c r="C34" s="4" t="s">
        <v>742</v>
      </c>
      <c r="D34" s="6" t="s">
        <v>750</v>
      </c>
    </row>
    <row r="35" customFormat="false" ht="15" hidden="false" customHeight="false" outlineLevel="0" collapsed="false">
      <c r="A35" s="6" t="s">
        <v>751</v>
      </c>
      <c r="B35" s="22" t="n">
        <f aca="false">B5/B17</f>
        <v>1</v>
      </c>
      <c r="C35" s="4" t="s">
        <v>720</v>
      </c>
      <c r="D35" s="7"/>
    </row>
    <row r="36" customFormat="false" ht="15" hidden="false" customHeight="false" outlineLevel="0" collapsed="false">
      <c r="A36" s="6" t="s">
        <v>752</v>
      </c>
      <c r="B36" s="22" t="n">
        <f aca="false">B5/B17+B5/B18</f>
        <v>2.46341463414634</v>
      </c>
      <c r="C36" s="4" t="s">
        <v>720</v>
      </c>
      <c r="D36" s="6" t="s">
        <v>753</v>
      </c>
    </row>
    <row r="37" customFormat="false" ht="15" hidden="false" customHeight="false" outlineLevel="0" collapsed="false">
      <c r="A37" s="6" t="s">
        <v>754</v>
      </c>
      <c r="B37" s="21" t="n">
        <f aca="false">ROUND((B13+B12*B16)*B33/B8*(2^B9-1),0)</f>
        <v>2374</v>
      </c>
      <c r="C37" s="4" t="s">
        <v>742</v>
      </c>
      <c r="D37" s="6" t="s">
        <v>743</v>
      </c>
    </row>
    <row r="38" customFormat="false" ht="15" hidden="false" customHeight="false" outlineLevel="0" collapsed="false">
      <c r="A38" s="6" t="s">
        <v>755</v>
      </c>
      <c r="B38" s="21" t="n">
        <f aca="false">ROUND((B13+B12*B36)*B33/B8*(2^B9-1),0)</f>
        <v>2445</v>
      </c>
      <c r="C38" s="4" t="s">
        <v>742</v>
      </c>
      <c r="D38" s="7"/>
    </row>
    <row r="39" customFormat="false" ht="15" hidden="false" customHeight="false" outlineLevel="0" collapsed="false">
      <c r="A39" s="6" t="s">
        <v>756</v>
      </c>
      <c r="B39" s="4" t="str">
        <f aca="false">IF(B36&gt;B16,"OK: 차단 시험 가능","부족: 시험 부하 재선택")</f>
        <v>OK: 차단 시험 가능</v>
      </c>
      <c r="C39" s="4"/>
      <c r="D39" s="7"/>
    </row>
    <row r="40" customFormat="false" ht="15" hidden="false" customHeight="false" outlineLevel="0" collapsed="false">
      <c r="A40" s="6" t="s">
        <v>757</v>
      </c>
      <c r="B40" s="4" t="str">
        <f aca="false">IF((B13+B12*5)*B33&lt;=B8,"OK","초과")</f>
        <v>OK</v>
      </c>
      <c r="C40" s="4"/>
      <c r="D40" s="7" t="s">
        <v>758</v>
      </c>
    </row>
    <row r="42" customFormat="false" ht="15" hidden="false" customHeight="false" outlineLevel="0" collapsed="false">
      <c r="A42" s="12" t="s">
        <v>759</v>
      </c>
      <c r="B42" s="12"/>
      <c r="C42" s="12"/>
      <c r="D42" s="12"/>
    </row>
    <row r="43" customFormat="false" ht="15" hidden="false" customHeight="false" outlineLevel="0" collapsed="false">
      <c r="A43" s="6" t="s">
        <v>760</v>
      </c>
      <c r="B43" s="19" t="n">
        <f aca="false">B19*EXP(B20*(1/(B22+273.15)-1/298.15))</f>
        <v>2.48616475147338</v>
      </c>
      <c r="C43" s="4" t="s">
        <v>700</v>
      </c>
      <c r="D43" s="7" t="s">
        <v>761</v>
      </c>
    </row>
    <row r="44" customFormat="false" ht="15" hidden="false" customHeight="false" outlineLevel="0" collapsed="false">
      <c r="A44" s="6" t="s">
        <v>762</v>
      </c>
      <c r="B44" s="21" t="n">
        <f aca="false">ROUND(B43/(B21+B43)*(2^B9-1),0)</f>
        <v>815</v>
      </c>
      <c r="C44" s="4" t="s">
        <v>742</v>
      </c>
      <c r="D44" s="6" t="s">
        <v>763</v>
      </c>
    </row>
    <row r="45" customFormat="false" ht="15" hidden="false" customHeight="false" outlineLevel="0" collapsed="false">
      <c r="A45" s="6" t="s">
        <v>764</v>
      </c>
      <c r="B45" s="19" t="n">
        <f aca="false">B19*EXP(B20*(1/(B23+273.15)-1/298.15))</f>
        <v>3.58818258192908</v>
      </c>
      <c r="C45" s="4" t="s">
        <v>700</v>
      </c>
      <c r="D45" s="7"/>
    </row>
    <row r="46" customFormat="false" ht="15" hidden="false" customHeight="false" outlineLevel="0" collapsed="false">
      <c r="A46" s="6" t="s">
        <v>765</v>
      </c>
      <c r="B46" s="21" t="n">
        <f aca="false">ROUND(B45/(B21+B45)*(2^B9-1),0)</f>
        <v>1081</v>
      </c>
      <c r="C46" s="4" t="s">
        <v>742</v>
      </c>
      <c r="D46" s="6" t="s">
        <v>766</v>
      </c>
    </row>
    <row r="48" customFormat="false" ht="15" hidden="false" customHeight="false" outlineLevel="0" collapsed="false">
      <c r="A48" s="12" t="s">
        <v>767</v>
      </c>
      <c r="B48" s="12"/>
      <c r="C48" s="12"/>
      <c r="D48" s="12"/>
    </row>
    <row r="49" customFormat="false" ht="15" hidden="false" customHeight="false" outlineLevel="0" collapsed="false">
      <c r="A49" s="6" t="s">
        <v>768</v>
      </c>
      <c r="B49" s="20" t="n">
        <f aca="false">B5^2/B17</f>
        <v>12</v>
      </c>
      <c r="C49" s="4" t="s">
        <v>769</v>
      </c>
      <c r="D49" s="6" t="s">
        <v>770</v>
      </c>
    </row>
    <row r="50" customFormat="false" ht="15" hidden="false" customHeight="false" outlineLevel="0" collapsed="false">
      <c r="A50" s="6" t="s">
        <v>771</v>
      </c>
      <c r="B50" s="20" t="n">
        <f aca="false">B5^2/B18</f>
        <v>17.5609756097561</v>
      </c>
      <c r="C50" s="4" t="s">
        <v>769</v>
      </c>
      <c r="D50" s="6" t="s">
        <v>772</v>
      </c>
    </row>
    <row r="51" customFormat="false" ht="15" hidden="false" customHeight="false" outlineLevel="0" collapsed="false">
      <c r="A51" s="6" t="s">
        <v>773</v>
      </c>
      <c r="B51" s="20" t="n">
        <f aca="false">B10^2/B17</f>
        <v>16.3333333333333</v>
      </c>
      <c r="C51" s="4" t="s">
        <v>769</v>
      </c>
      <c r="D51" s="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2026-10-29T20:38:04Z</dcterms:created>
  <dc:creator>openpyxl</dc:creator>
  <dc:description/>
  <dc:language>en-US</dc:language>
  <cp:lastModifiedBy/>
  <dcterms:modified xsi:type="dcterms:W3CDTF">2026-10-29T20:38:04Z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